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mc:AlternateContent xmlns:mc="http://schemas.openxmlformats.org/markup-compatibility/2006">
    <mc:Choice Requires="x15">
      <x15ac:absPath xmlns:x15ac="http://schemas.microsoft.com/office/spreadsheetml/2010/11/ac" url="C:\Users\Massimiliano\Desktop\"/>
    </mc:Choice>
  </mc:AlternateContent>
  <xr:revisionPtr revIDLastSave="0" documentId="13_ncr:1_{44CDBF4A-46D4-4491-BDA5-3BE78EB69D34}" xr6:coauthVersionLast="47" xr6:coauthVersionMax="47" xr10:uidLastSave="{00000000-0000-0000-0000-000000000000}"/>
  <bookViews>
    <workbookView xWindow="-120" yWindow="-120" windowWidth="29040" windowHeight="15840" activeTab="1" xr2:uid="{00000000-000D-0000-FFFF-FFFF00000000}"/>
  </bookViews>
  <sheets>
    <sheet name="My trades" sheetId="1" r:id="rId1"/>
    <sheet name="Stock exchanges" sheetId="3" r:id="rId2"/>
    <sheet name="Profit insights" sheetId="4" r:id="rId3"/>
    <sheet name="Number of trades exchanged" sheetId="5" r:id="rId4"/>
  </sheets>
  <definedNames>
    <definedName name="_xlnm._FilterDatabase" localSheetId="2" hidden="1">'Profit insights'!$B$1:$B$212</definedName>
    <definedName name="_xlchart.v1.0" hidden="1">'Profit insights'!$B$1</definedName>
    <definedName name="_xlchart.v1.1" hidden="1">'Profit insights'!$B$2:$B$213</definedName>
  </definedNames>
  <calcPr calcId="191028"/>
  <pivotCaches>
    <pivotCache cacheId="1" r:id="rId5"/>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O15" i="5" l="1"/>
  <c r="D20" i="5"/>
  <c r="E20" i="5"/>
  <c r="F20" i="5"/>
  <c r="G20" i="5"/>
  <c r="H20" i="5"/>
  <c r="I20" i="5"/>
  <c r="J20" i="5"/>
  <c r="K20" i="5"/>
  <c r="L20" i="5"/>
  <c r="C20" i="5"/>
  <c r="D19" i="5"/>
  <c r="E19" i="5"/>
  <c r="F19" i="5"/>
  <c r="G19" i="5"/>
  <c r="H19" i="5"/>
  <c r="I19" i="5"/>
  <c r="J19" i="5"/>
  <c r="K19" i="5"/>
  <c r="L19" i="5"/>
  <c r="D18" i="5"/>
  <c r="E18" i="5"/>
  <c r="F18" i="5"/>
  <c r="G18" i="5"/>
  <c r="H18" i="5"/>
  <c r="I18" i="5"/>
  <c r="J18" i="5"/>
  <c r="K18" i="5"/>
  <c r="L18" i="5"/>
  <c r="D17" i="5"/>
  <c r="E17" i="5"/>
  <c r="F17" i="5"/>
  <c r="G17" i="5"/>
  <c r="H17" i="5"/>
  <c r="I17" i="5"/>
  <c r="J17" i="5"/>
  <c r="K17" i="5"/>
  <c r="L17" i="5"/>
  <c r="D16" i="5"/>
  <c r="E16" i="5"/>
  <c r="F16" i="5"/>
  <c r="G16" i="5"/>
  <c r="H16" i="5"/>
  <c r="I16" i="5"/>
  <c r="J16" i="5"/>
  <c r="K16" i="5"/>
  <c r="L16" i="5"/>
  <c r="D12" i="5"/>
  <c r="E12" i="5"/>
  <c r="F12" i="5"/>
  <c r="G12" i="5"/>
  <c r="H12" i="5"/>
  <c r="I12" i="5"/>
  <c r="J12" i="5"/>
  <c r="K12" i="5"/>
  <c r="L12" i="5"/>
  <c r="D15" i="5"/>
  <c r="E15" i="5"/>
  <c r="F15" i="5"/>
  <c r="G15" i="5"/>
  <c r="H15" i="5"/>
  <c r="I15" i="5"/>
  <c r="J15" i="5"/>
  <c r="K15" i="5"/>
  <c r="L15" i="5"/>
  <c r="L14" i="5"/>
  <c r="D14" i="5"/>
  <c r="E14" i="5"/>
  <c r="F14" i="5"/>
  <c r="G14" i="5"/>
  <c r="H14" i="5"/>
  <c r="I14" i="5"/>
  <c r="J14" i="5"/>
  <c r="K14" i="5"/>
  <c r="D13" i="5"/>
  <c r="E13" i="5"/>
  <c r="F13" i="5"/>
  <c r="G13" i="5"/>
  <c r="H13" i="5"/>
  <c r="I13" i="5"/>
  <c r="J13" i="5"/>
  <c r="K13" i="5"/>
  <c r="L13" i="5"/>
  <c r="D11" i="5"/>
  <c r="E11" i="5"/>
  <c r="F11" i="5"/>
  <c r="G11" i="5"/>
  <c r="H11" i="5"/>
  <c r="I11" i="5"/>
  <c r="J11" i="5"/>
  <c r="K11" i="5"/>
  <c r="L11" i="5"/>
  <c r="D10" i="5"/>
  <c r="E10" i="5"/>
  <c r="F10" i="5"/>
  <c r="G10" i="5"/>
  <c r="H10" i="5"/>
  <c r="I10" i="5"/>
  <c r="J10" i="5"/>
  <c r="K10" i="5"/>
  <c r="L10" i="5"/>
  <c r="D9" i="5"/>
  <c r="E9" i="5"/>
  <c r="F9" i="5"/>
  <c r="G9" i="5"/>
  <c r="H9" i="5"/>
  <c r="I9" i="5"/>
  <c r="J9" i="5"/>
  <c r="K9" i="5"/>
  <c r="L9" i="5"/>
  <c r="D8" i="5"/>
  <c r="E8" i="5"/>
  <c r="F8" i="5"/>
  <c r="G8" i="5"/>
  <c r="H8" i="5"/>
  <c r="I8" i="5"/>
  <c r="J8" i="5"/>
  <c r="K8" i="5"/>
  <c r="L8" i="5"/>
  <c r="D7" i="5"/>
  <c r="E7" i="5"/>
  <c r="F7" i="5"/>
  <c r="G7" i="5"/>
  <c r="H7" i="5"/>
  <c r="I7" i="5"/>
  <c r="J7" i="5"/>
  <c r="K7" i="5"/>
  <c r="L7" i="5"/>
  <c r="D6" i="5"/>
  <c r="E6" i="5"/>
  <c r="F6" i="5"/>
  <c r="G6" i="5"/>
  <c r="H6" i="5"/>
  <c r="I6" i="5"/>
  <c r="J6" i="5"/>
  <c r="K6" i="5"/>
  <c r="L6" i="5"/>
  <c r="L5" i="5"/>
  <c r="D5" i="5"/>
  <c r="E5" i="5"/>
  <c r="F5" i="5"/>
  <c r="G5" i="5"/>
  <c r="H5" i="5"/>
  <c r="I5" i="5"/>
  <c r="J5" i="5"/>
  <c r="K5" i="5"/>
  <c r="D4" i="5"/>
  <c r="E4" i="5"/>
  <c r="F4" i="5"/>
  <c r="G4" i="5"/>
  <c r="H4" i="5"/>
  <c r="I4" i="5"/>
  <c r="J4" i="5"/>
  <c r="K4" i="5"/>
  <c r="L4" i="5"/>
  <c r="C4" i="5"/>
  <c r="C5" i="5"/>
  <c r="C6" i="5"/>
  <c r="C7" i="5"/>
  <c r="C8" i="5"/>
  <c r="C9" i="5"/>
  <c r="C10" i="5"/>
  <c r="C11" i="5"/>
  <c r="C12" i="5"/>
  <c r="C13" i="5"/>
  <c r="C14" i="5"/>
  <c r="C15" i="5"/>
  <c r="C16" i="5"/>
  <c r="C17" i="5"/>
  <c r="C18" i="5"/>
  <c r="C19" i="5"/>
  <c r="E3" i="5"/>
  <c r="F3" i="5"/>
  <c r="G3" i="5"/>
  <c r="H3" i="5"/>
  <c r="I3" i="5"/>
  <c r="J3" i="5"/>
  <c r="K3" i="5"/>
  <c r="L3" i="5"/>
  <c r="D3" i="5"/>
  <c r="C3" i="5"/>
  <c r="C199" i="4"/>
  <c r="C104" i="4"/>
  <c r="C63" i="4"/>
  <c r="C152" i="4"/>
  <c r="C100" i="4"/>
  <c r="C96" i="4"/>
  <c r="C89" i="4"/>
  <c r="C133" i="4"/>
  <c r="C86" i="4"/>
  <c r="C137" i="4"/>
  <c r="C113" i="4"/>
  <c r="C14" i="4"/>
  <c r="C156" i="4"/>
  <c r="C54" i="4"/>
  <c r="C9" i="4"/>
  <c r="C187" i="4"/>
  <c r="C149" i="4"/>
  <c r="C201" i="4"/>
  <c r="C153" i="4"/>
  <c r="C126" i="4"/>
  <c r="C168" i="4"/>
  <c r="C127" i="4"/>
  <c r="C45" i="4"/>
  <c r="C4" i="4"/>
  <c r="C35" i="4"/>
  <c r="C108" i="4"/>
  <c r="C129" i="4"/>
  <c r="C119" i="4"/>
  <c r="C160" i="4"/>
  <c r="C82" i="4"/>
  <c r="C192" i="4"/>
  <c r="C116" i="4"/>
  <c r="C141" i="4"/>
  <c r="C98" i="4"/>
  <c r="C200" i="4"/>
  <c r="C17" i="4"/>
  <c r="C103" i="4"/>
  <c r="C112" i="4"/>
  <c r="C8" i="4"/>
  <c r="C177" i="4"/>
  <c r="C13" i="4"/>
  <c r="C56" i="4"/>
  <c r="C40" i="4"/>
  <c r="C167" i="4"/>
  <c r="C175" i="4"/>
  <c r="C69" i="4"/>
  <c r="C136" i="4"/>
  <c r="C120" i="4"/>
  <c r="C95" i="4"/>
  <c r="C145" i="4"/>
  <c r="C148" i="4"/>
  <c r="C154" i="4"/>
  <c r="C68" i="4"/>
  <c r="C25" i="4"/>
  <c r="C191" i="4"/>
  <c r="C72" i="4"/>
  <c r="C142" i="4"/>
  <c r="C2" i="4"/>
  <c r="C155" i="4"/>
  <c r="C166" i="4"/>
  <c r="C30" i="4"/>
  <c r="C147" i="4"/>
  <c r="C57" i="4"/>
  <c r="C161" i="4"/>
  <c r="C75" i="4"/>
  <c r="C52" i="4"/>
  <c r="C34" i="4"/>
  <c r="C12" i="4"/>
  <c r="C109" i="4"/>
  <c r="C39" i="4"/>
  <c r="C48" i="4"/>
  <c r="C66" i="4"/>
  <c r="C118" i="4"/>
  <c r="C60" i="4"/>
  <c r="C41" i="4"/>
  <c r="C132" i="4"/>
  <c r="C159" i="4"/>
  <c r="C33" i="4"/>
  <c r="C171" i="4"/>
  <c r="C90" i="4"/>
  <c r="C173" i="4"/>
  <c r="C74" i="4"/>
  <c r="C37" i="4"/>
  <c r="C85" i="4"/>
  <c r="C36" i="4"/>
  <c r="C97" i="4"/>
  <c r="C174" i="4"/>
  <c r="C188" i="4"/>
  <c r="C179" i="4"/>
  <c r="C181" i="4"/>
  <c r="C99" i="4"/>
  <c r="C143" i="4"/>
  <c r="C186" i="4"/>
  <c r="C189" i="4"/>
  <c r="C46" i="4"/>
  <c r="C146" i="4"/>
  <c r="C134" i="4"/>
  <c r="C93" i="4"/>
  <c r="C5" i="4"/>
  <c r="C115" i="4"/>
  <c r="C7" i="4"/>
  <c r="C84" i="4"/>
  <c r="C83" i="4"/>
  <c r="C193" i="4"/>
  <c r="C150" i="4"/>
  <c r="C16" i="4"/>
  <c r="C26" i="4"/>
  <c r="C47" i="4"/>
  <c r="C190" i="4"/>
  <c r="C55" i="4"/>
  <c r="C3" i="4"/>
  <c r="C79" i="4"/>
  <c r="C172" i="4"/>
  <c r="C122" i="4"/>
  <c r="C92" i="4"/>
  <c r="C77" i="4"/>
  <c r="C65" i="4"/>
  <c r="C32" i="4"/>
  <c r="C102" i="4"/>
  <c r="C50" i="4"/>
  <c r="C6" i="4"/>
  <c r="C140" i="4"/>
  <c r="C29" i="4"/>
  <c r="C176" i="4"/>
  <c r="C23" i="4"/>
  <c r="C144" i="4"/>
  <c r="C88" i="4"/>
  <c r="C184" i="4"/>
  <c r="C197" i="4"/>
  <c r="C70" i="4"/>
  <c r="C157" i="4"/>
  <c r="C162" i="4"/>
  <c r="C62" i="4"/>
  <c r="C185" i="4"/>
  <c r="C135" i="4"/>
  <c r="C27" i="4"/>
  <c r="C110" i="4"/>
  <c r="C21" i="4"/>
  <c r="C59" i="4"/>
  <c r="C123" i="4"/>
  <c r="C49" i="4"/>
  <c r="C195" i="4"/>
  <c r="C15" i="4"/>
  <c r="C131" i="4"/>
  <c r="C64" i="4"/>
  <c r="C105" i="4"/>
  <c r="C91" i="4"/>
  <c r="C80" i="4"/>
  <c r="C53" i="4"/>
  <c r="C11" i="4"/>
  <c r="C81" i="4"/>
  <c r="C165" i="4"/>
  <c r="C67" i="4"/>
  <c r="C196" i="4"/>
  <c r="C94" i="4"/>
  <c r="C18" i="4"/>
  <c r="C101" i="4"/>
  <c r="C87" i="4"/>
  <c r="C73" i="4"/>
  <c r="C164" i="4"/>
  <c r="C44" i="4"/>
  <c r="C22" i="4"/>
  <c r="C163" i="4"/>
  <c r="C76" i="4"/>
  <c r="C38" i="4"/>
  <c r="C106" i="4"/>
  <c r="C19" i="4"/>
  <c r="C20" i="4"/>
  <c r="C178" i="4"/>
  <c r="C125" i="4"/>
  <c r="C130" i="4"/>
  <c r="C42" i="4"/>
  <c r="C183" i="4"/>
  <c r="C198" i="4"/>
  <c r="C28" i="4"/>
  <c r="C194" i="4"/>
  <c r="C114" i="4"/>
  <c r="C170" i="4"/>
  <c r="C158" i="4"/>
  <c r="C117" i="4"/>
  <c r="C43" i="4"/>
  <c r="C58" i="4"/>
  <c r="C107" i="4"/>
  <c r="C138" i="4"/>
  <c r="C10" i="4"/>
  <c r="C180" i="4"/>
  <c r="C151" i="4"/>
  <c r="C71" i="4"/>
  <c r="C182" i="4"/>
  <c r="C78" i="4"/>
  <c r="C31" i="4"/>
  <c r="C128" i="4"/>
  <c r="C121" i="4"/>
  <c r="C124" i="4"/>
  <c r="C169" i="4"/>
  <c r="C139" i="4"/>
  <c r="C24" i="4"/>
  <c r="C61" i="4"/>
  <c r="C111" i="4"/>
  <c r="C51" i="4"/>
  <c r="B51" i="4"/>
  <c r="B199" i="4"/>
  <c r="B104" i="4"/>
  <c r="B63" i="4"/>
  <c r="B152" i="4"/>
  <c r="B100" i="4"/>
  <c r="B96" i="4"/>
  <c r="B89" i="4"/>
  <c r="B133" i="4"/>
  <c r="B86" i="4"/>
  <c r="B137" i="4"/>
  <c r="B113" i="4"/>
  <c r="B14" i="4"/>
  <c r="B156" i="4"/>
  <c r="B54" i="4"/>
  <c r="B9" i="4"/>
  <c r="B187" i="4"/>
  <c r="B149" i="4"/>
  <c r="B201" i="4"/>
  <c r="B153" i="4"/>
  <c r="B126" i="4"/>
  <c r="B168" i="4"/>
  <c r="B127" i="4"/>
  <c r="B45" i="4"/>
  <c r="B4" i="4"/>
  <c r="B35" i="4"/>
  <c r="B108" i="4"/>
  <c r="B129" i="4"/>
  <c r="B119" i="4"/>
  <c r="B160" i="4"/>
  <c r="B82" i="4"/>
  <c r="B192" i="4"/>
  <c r="B116" i="4"/>
  <c r="B141" i="4"/>
  <c r="B98" i="4"/>
  <c r="B200" i="4"/>
  <c r="B17" i="4"/>
  <c r="B103" i="4"/>
  <c r="B112" i="4"/>
  <c r="B8" i="4"/>
  <c r="B177" i="4"/>
  <c r="B13" i="4"/>
  <c r="B56" i="4"/>
  <c r="B40" i="4"/>
  <c r="B167" i="4"/>
  <c r="B175" i="4"/>
  <c r="B69" i="4"/>
  <c r="B136" i="4"/>
  <c r="B120" i="4"/>
  <c r="B95" i="4"/>
  <c r="B145" i="4"/>
  <c r="B148" i="4"/>
  <c r="B154" i="4"/>
  <c r="B68" i="4"/>
  <c r="B25" i="4"/>
  <c r="B191" i="4"/>
  <c r="B72" i="4"/>
  <c r="B142" i="4"/>
  <c r="B2" i="4"/>
  <c r="B155" i="4"/>
  <c r="B166" i="4"/>
  <c r="B30" i="4"/>
  <c r="B147" i="4"/>
  <c r="B57" i="4"/>
  <c r="B161" i="4"/>
  <c r="B75" i="4"/>
  <c r="B52" i="4"/>
  <c r="B34" i="4"/>
  <c r="B12" i="4"/>
  <c r="B109" i="4"/>
  <c r="B39" i="4"/>
  <c r="B48" i="4"/>
  <c r="B66" i="4"/>
  <c r="B118" i="4"/>
  <c r="B60" i="4"/>
  <c r="B41" i="4"/>
  <c r="B132" i="4"/>
  <c r="B159" i="4"/>
  <c r="B33" i="4"/>
  <c r="B171" i="4"/>
  <c r="B90" i="4"/>
  <c r="B173" i="4"/>
  <c r="B74" i="4"/>
  <c r="B37" i="4"/>
  <c r="B85" i="4"/>
  <c r="B36" i="4"/>
  <c r="B97" i="4"/>
  <c r="B174" i="4"/>
  <c r="B188" i="4"/>
  <c r="B179" i="4"/>
  <c r="B181" i="4"/>
  <c r="B99" i="4"/>
  <c r="B143" i="4"/>
  <c r="B186" i="4"/>
  <c r="B189" i="4"/>
  <c r="B46" i="4"/>
  <c r="B146" i="4"/>
  <c r="B134" i="4"/>
  <c r="B93" i="4"/>
  <c r="B5" i="4"/>
  <c r="B115" i="4"/>
  <c r="B7" i="4"/>
  <c r="B84" i="4"/>
  <c r="B83" i="4"/>
  <c r="B193" i="4"/>
  <c r="B150" i="4"/>
  <c r="B16" i="4"/>
  <c r="B26" i="4"/>
  <c r="B47" i="4"/>
  <c r="B190" i="4"/>
  <c r="B55" i="4"/>
  <c r="B3" i="4"/>
  <c r="B79" i="4"/>
  <c r="B172" i="4"/>
  <c r="B122" i="4"/>
  <c r="B92" i="4"/>
  <c r="B77" i="4"/>
  <c r="B65" i="4"/>
  <c r="B32" i="4"/>
  <c r="B102" i="4"/>
  <c r="B50" i="4"/>
  <c r="B6" i="4"/>
  <c r="B140" i="4"/>
  <c r="B29" i="4"/>
  <c r="B176" i="4"/>
  <c r="B23" i="4"/>
  <c r="B144" i="4"/>
  <c r="B88" i="4"/>
  <c r="B184" i="4"/>
  <c r="B197" i="4"/>
  <c r="B70" i="4"/>
  <c r="B157" i="4"/>
  <c r="B162" i="4"/>
  <c r="B62" i="4"/>
  <c r="B185" i="4"/>
  <c r="B135" i="4"/>
  <c r="B27" i="4"/>
  <c r="B110" i="4"/>
  <c r="B21" i="4"/>
  <c r="B59" i="4"/>
  <c r="B123" i="4"/>
  <c r="B49" i="4"/>
  <c r="B195" i="4"/>
  <c r="B15" i="4"/>
  <c r="B131" i="4"/>
  <c r="B64" i="4"/>
  <c r="B105" i="4"/>
  <c r="B91" i="4"/>
  <c r="B80" i="4"/>
  <c r="B53" i="4"/>
  <c r="B11" i="4"/>
  <c r="B81" i="4"/>
  <c r="B165" i="4"/>
  <c r="B67" i="4"/>
  <c r="B196" i="4"/>
  <c r="B94" i="4"/>
  <c r="B18" i="4"/>
  <c r="B101" i="4"/>
  <c r="B87" i="4"/>
  <c r="B73" i="4"/>
  <c r="B164" i="4"/>
  <c r="B44" i="4"/>
  <c r="B22" i="4"/>
  <c r="B163" i="4"/>
  <c r="B76" i="4"/>
  <c r="B38" i="4"/>
  <c r="B106" i="4"/>
  <c r="B19" i="4"/>
  <c r="B20" i="4"/>
  <c r="B178" i="4"/>
  <c r="B125" i="4"/>
  <c r="B130" i="4"/>
  <c r="B42" i="4"/>
  <c r="B183" i="4"/>
  <c r="B198" i="4"/>
  <c r="B28" i="4"/>
  <c r="B194" i="4"/>
  <c r="B114" i="4"/>
  <c r="B170" i="4"/>
  <c r="B158" i="4"/>
  <c r="B117" i="4"/>
  <c r="B43" i="4"/>
  <c r="B58" i="4"/>
  <c r="B107" i="4"/>
  <c r="B138" i="4"/>
  <c r="B10" i="4"/>
  <c r="B180" i="4"/>
  <c r="B151" i="4"/>
  <c r="B71" i="4"/>
  <c r="B182" i="4"/>
  <c r="B78" i="4"/>
  <c r="B31" i="4"/>
  <c r="B128" i="4"/>
  <c r="B121" i="4"/>
  <c r="B124" i="4"/>
  <c r="B169" i="4"/>
  <c r="B139" i="4"/>
  <c r="B24" i="4"/>
  <c r="B61" i="4"/>
  <c r="B111" i="4"/>
  <c r="A31" i="4"/>
  <c r="A128" i="4"/>
  <c r="A121" i="4"/>
  <c r="A124" i="4"/>
  <c r="A169" i="4"/>
  <c r="A139" i="4"/>
  <c r="A24" i="4"/>
  <c r="A61" i="4"/>
  <c r="A111" i="4"/>
  <c r="A130" i="4"/>
  <c r="A42" i="4"/>
  <c r="A183" i="4"/>
  <c r="A198" i="4"/>
  <c r="A28" i="4"/>
  <c r="A194" i="4"/>
  <c r="A114" i="4"/>
  <c r="A170" i="4"/>
  <c r="A158" i="4"/>
  <c r="A117" i="4"/>
  <c r="A43" i="4"/>
  <c r="A58" i="4"/>
  <c r="A107" i="4"/>
  <c r="A138" i="4"/>
  <c r="A10" i="4"/>
  <c r="A180" i="4"/>
  <c r="A151" i="4"/>
  <c r="A71" i="4"/>
  <c r="A182" i="4"/>
  <c r="A78" i="4"/>
  <c r="A80" i="4"/>
  <c r="A53" i="4"/>
  <c r="A11" i="4"/>
  <c r="A81" i="4"/>
  <c r="A165" i="4"/>
  <c r="A67" i="4"/>
  <c r="A196" i="4"/>
  <c r="A94" i="4"/>
  <c r="A18" i="4"/>
  <c r="A101" i="4"/>
  <c r="A87" i="4"/>
  <c r="A73" i="4"/>
  <c r="A164" i="4"/>
  <c r="A44" i="4"/>
  <c r="A22" i="4"/>
  <c r="A163" i="4"/>
  <c r="A76" i="4"/>
  <c r="A38" i="4"/>
  <c r="A106" i="4"/>
  <c r="A19" i="4"/>
  <c r="A20" i="4"/>
  <c r="A178" i="4"/>
  <c r="A125" i="4"/>
  <c r="A88" i="4"/>
  <c r="A184" i="4"/>
  <c r="A197" i="4"/>
  <c r="A70" i="4"/>
  <c r="A157" i="4"/>
  <c r="A162" i="4"/>
  <c r="A62" i="4"/>
  <c r="A185" i="4"/>
  <c r="A135" i="4"/>
  <c r="A27" i="4"/>
  <c r="A110" i="4"/>
  <c r="A21" i="4"/>
  <c r="A59" i="4"/>
  <c r="A123" i="4"/>
  <c r="A49" i="4"/>
  <c r="A195" i="4"/>
  <c r="A15" i="4"/>
  <c r="A131" i="4"/>
  <c r="A64" i="4"/>
  <c r="A105" i="4"/>
  <c r="A91" i="4"/>
  <c r="A79" i="4"/>
  <c r="A172" i="4"/>
  <c r="A122" i="4"/>
  <c r="A92" i="4"/>
  <c r="A77" i="4"/>
  <c r="A65" i="4"/>
  <c r="A32" i="4"/>
  <c r="A102" i="4"/>
  <c r="A50" i="4"/>
  <c r="A6" i="4"/>
  <c r="A140" i="4"/>
  <c r="A29" i="4"/>
  <c r="A176" i="4"/>
  <c r="A23" i="4"/>
  <c r="A144" i="4"/>
  <c r="A75" i="4"/>
  <c r="A52" i="4"/>
  <c r="A34" i="4"/>
  <c r="A12" i="4"/>
  <c r="A109" i="4"/>
  <c r="A39" i="4"/>
  <c r="A48" i="4"/>
  <c r="A66" i="4"/>
  <c r="A118" i="4"/>
  <c r="A60" i="4"/>
  <c r="A41" i="4"/>
  <c r="A132" i="4"/>
  <c r="A159" i="4"/>
  <c r="A33" i="4"/>
  <c r="A171" i="4"/>
  <c r="A90" i="4"/>
  <c r="A173" i="4"/>
  <c r="A74" i="4"/>
  <c r="A37" i="4"/>
  <c r="A85" i="4"/>
  <c r="A36" i="4"/>
  <c r="A97" i="4"/>
  <c r="A174" i="4"/>
  <c r="A188" i="4"/>
  <c r="A179" i="4"/>
  <c r="A181" i="4"/>
  <c r="A99" i="4"/>
  <c r="A143" i="4"/>
  <c r="A186" i="4"/>
  <c r="A189" i="4"/>
  <c r="A46" i="4"/>
  <c r="A146" i="4"/>
  <c r="A134" i="4"/>
  <c r="A93" i="4"/>
  <c r="A5" i="4"/>
  <c r="A115" i="4"/>
  <c r="A7" i="4"/>
  <c r="A84" i="4"/>
  <c r="A83" i="4"/>
  <c r="A193" i="4"/>
  <c r="A150" i="4"/>
  <c r="A16" i="4"/>
  <c r="A26" i="4"/>
  <c r="A47" i="4"/>
  <c r="A190" i="4"/>
  <c r="A55" i="4"/>
  <c r="A3" i="4"/>
  <c r="A177" i="4"/>
  <c r="A13" i="4"/>
  <c r="A56" i="4"/>
  <c r="A40" i="4"/>
  <c r="A167" i="4"/>
  <c r="A175" i="4"/>
  <c r="A69" i="4"/>
  <c r="A136" i="4"/>
  <c r="A120" i="4"/>
  <c r="A95" i="4"/>
  <c r="A145" i="4"/>
  <c r="A148" i="4"/>
  <c r="A154" i="4"/>
  <c r="A68" i="4"/>
  <c r="A25" i="4"/>
  <c r="A191" i="4"/>
  <c r="A72" i="4"/>
  <c r="A142" i="4"/>
  <c r="A2" i="4"/>
  <c r="A155" i="4"/>
  <c r="A166" i="4"/>
  <c r="A30" i="4"/>
  <c r="A147" i="4"/>
  <c r="A57" i="4"/>
  <c r="A161" i="4"/>
  <c r="A199" i="4"/>
  <c r="A104" i="4"/>
  <c r="A63" i="4"/>
  <c r="A152" i="4"/>
  <c r="A100" i="4"/>
  <c r="A96" i="4"/>
  <c r="A89" i="4"/>
  <c r="A133" i="4"/>
  <c r="A86" i="4"/>
  <c r="A137" i="4"/>
  <c r="A113" i="4"/>
  <c r="A14" i="4"/>
  <c r="A156" i="4"/>
  <c r="A54" i="4"/>
  <c r="A9" i="4"/>
  <c r="A187" i="4"/>
  <c r="A149" i="4"/>
  <c r="A201" i="4"/>
  <c r="A153" i="4"/>
  <c r="A126" i="4"/>
  <c r="A168" i="4"/>
  <c r="A127" i="4"/>
  <c r="A45" i="4"/>
  <c r="A4" i="4"/>
  <c r="A35" i="4"/>
  <c r="A108" i="4"/>
  <c r="A129" i="4"/>
  <c r="A119" i="4"/>
  <c r="A160" i="4"/>
  <c r="A82" i="4"/>
  <c r="A192" i="4"/>
  <c r="A116" i="4"/>
  <c r="A141" i="4"/>
  <c r="A98" i="4"/>
  <c r="A200" i="4"/>
  <c r="A17" i="4"/>
  <c r="A103" i="4"/>
  <c r="A112" i="4"/>
  <c r="A8" i="4"/>
  <c r="A51" i="4"/>
  <c r="D3"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2" i="3"/>
  <c r="M4" i="5" l="1"/>
  <c r="M5" i="5"/>
  <c r="M18" i="5"/>
  <c r="M16" i="5"/>
  <c r="M15" i="5"/>
  <c r="M14" i="5"/>
  <c r="M13" i="5"/>
  <c r="M12" i="5"/>
  <c r="M11" i="5"/>
  <c r="M19" i="5"/>
  <c r="M10" i="5"/>
  <c r="M17" i="5"/>
  <c r="M3" i="5"/>
  <c r="M9" i="5"/>
  <c r="M8" i="5"/>
  <c r="M7" i="5"/>
  <c r="M6" i="5"/>
  <c r="M20" i="5" l="1"/>
  <c r="O4" i="5" l="1"/>
</calcChain>
</file>

<file path=xl/sharedStrings.xml><?xml version="1.0" encoding="utf-8"?>
<sst xmlns="http://schemas.openxmlformats.org/spreadsheetml/2006/main" count="679" uniqueCount="258">
  <si>
    <t>Trade</t>
  </si>
  <si>
    <t>Stock exchange</t>
  </si>
  <si>
    <t>Region</t>
  </si>
  <si>
    <t>Date added</t>
  </si>
  <si>
    <t>Quantity</t>
  </si>
  <si>
    <t>Buy Price</t>
  </si>
  <si>
    <t>Date sold</t>
  </si>
  <si>
    <t>Sell Price</t>
  </si>
  <si>
    <t>agfgcfxt</t>
  </si>
  <si>
    <t>Bombay Stock Exchange</t>
  </si>
  <si>
    <t>India</t>
  </si>
  <si>
    <t>aieoltom</t>
  </si>
  <si>
    <t>Tehran Stock Exchange</t>
  </si>
  <si>
    <t>Iran</t>
  </si>
  <si>
    <t>almuieaq</t>
  </si>
  <si>
    <t>National Stock Exchange</t>
  </si>
  <si>
    <t>apxkynfx</t>
  </si>
  <si>
    <t>SIX Swiss Exchange</t>
  </si>
  <si>
    <t>Switzerland</t>
  </si>
  <si>
    <t>bbjeprsq</t>
  </si>
  <si>
    <t>bcizkhng</t>
  </si>
  <si>
    <t>Euronext</t>
  </si>
  <si>
    <t>Europe</t>
  </si>
  <si>
    <t>bdkloegq</t>
  </si>
  <si>
    <t>Korea Exchange</t>
  </si>
  <si>
    <t>South Korea</t>
  </si>
  <si>
    <t>beszhcyh</t>
  </si>
  <si>
    <t>Johannesburg Stock Exchange</t>
  </si>
  <si>
    <t>South Africa</t>
  </si>
  <si>
    <t>bjfxoyxb</t>
  </si>
  <si>
    <t>Toronto Stock Exchange</t>
  </si>
  <si>
    <t>Canada</t>
  </si>
  <si>
    <t>bpjmrhjo</t>
  </si>
  <si>
    <t>brxwzrct</t>
  </si>
  <si>
    <t>Deutsche Börse AG</t>
  </si>
  <si>
    <t>Germany</t>
  </si>
  <si>
    <t>bumcnvke</t>
  </si>
  <si>
    <t>cesjzpbs</t>
  </si>
  <si>
    <t>cetffxgx</t>
  </si>
  <si>
    <t>Saudi Stock Exchange (Tadawul)</t>
  </si>
  <si>
    <t>Saudi Arabia</t>
  </si>
  <si>
    <t>chhqshvn</t>
  </si>
  <si>
    <t>ciykrilb</t>
  </si>
  <si>
    <t>Japan Exchange Group</t>
  </si>
  <si>
    <t>Japan</t>
  </si>
  <si>
    <t>cnitsbpk</t>
  </si>
  <si>
    <t>Hong Kong Stock Exchange</t>
  </si>
  <si>
    <t>Hong Kong</t>
  </si>
  <si>
    <t>cntrbotn</t>
  </si>
  <si>
    <t>Shanghai Stock Exchange</t>
  </si>
  <si>
    <t>China</t>
  </si>
  <si>
    <t>cwuqczya</t>
  </si>
  <si>
    <t>cymioqte</t>
  </si>
  <si>
    <t>dcnexoao</t>
  </si>
  <si>
    <t>London Stock Exchange</t>
  </si>
  <si>
    <t>United Kingdom</t>
  </si>
  <si>
    <t>dcplrgaa</t>
  </si>
  <si>
    <t>dieionnl</t>
  </si>
  <si>
    <t>B3 Brasil Bolsa Balcão</t>
  </si>
  <si>
    <t>Brazil</t>
  </si>
  <si>
    <t>dlgsjszn</t>
  </si>
  <si>
    <t>Nasdaq</t>
  </si>
  <si>
    <t>United States</t>
  </si>
  <si>
    <t>dpaxyvrx</t>
  </si>
  <si>
    <t>dspetbsq</t>
  </si>
  <si>
    <t>ebkkmqbi</t>
  </si>
  <si>
    <t>egvfikiy</t>
  </si>
  <si>
    <t>eknpqcge</t>
  </si>
  <si>
    <t>ekteqlhb</t>
  </si>
  <si>
    <t>emjmheht</t>
  </si>
  <si>
    <t>eodhevfz</t>
  </si>
  <si>
    <t>Shenzhen Stock Exchange</t>
  </si>
  <si>
    <t>ewzlrcco</t>
  </si>
  <si>
    <t>Taiwan Stock Exchange</t>
  </si>
  <si>
    <t>Taiwan</t>
  </si>
  <si>
    <t>fenldjbq</t>
  </si>
  <si>
    <t>fipcayvv</t>
  </si>
  <si>
    <t>fjcdzhde</t>
  </si>
  <si>
    <t>fjhbimle</t>
  </si>
  <si>
    <t>fkgjitio</t>
  </si>
  <si>
    <t>frlnnmpc</t>
  </si>
  <si>
    <t>New York Stock Exchange</t>
  </si>
  <si>
    <t>fucpzbpk</t>
  </si>
  <si>
    <t>fzpkolfu</t>
  </si>
  <si>
    <t>gcndrwci</t>
  </si>
  <si>
    <t>gfiuzniq</t>
  </si>
  <si>
    <t>giuqiukz</t>
  </si>
  <si>
    <t>gnghjpok</t>
  </si>
  <si>
    <t>goxmkirb</t>
  </si>
  <si>
    <t>gsarsxnf</t>
  </si>
  <si>
    <t>hafqyymf</t>
  </si>
  <si>
    <t>hdpggnqd</t>
  </si>
  <si>
    <t>hdslpwul</t>
  </si>
  <si>
    <t>heuzjzpi</t>
  </si>
  <si>
    <t>hfdavabb</t>
  </si>
  <si>
    <t>hfjghpbq</t>
  </si>
  <si>
    <t>hflsqchs</t>
  </si>
  <si>
    <t>hfwtmipz</t>
  </si>
  <si>
    <t>hkesgmfj</t>
  </si>
  <si>
    <t>hmtiybmi</t>
  </si>
  <si>
    <t>hnmvqkxv</t>
  </si>
  <si>
    <t>hpvfzslv</t>
  </si>
  <si>
    <t>hrfilyua</t>
  </si>
  <si>
    <t>Australian Securities Exchange</t>
  </si>
  <si>
    <t>Australia</t>
  </si>
  <si>
    <t>hutszssu</t>
  </si>
  <si>
    <t>iagrfath</t>
  </si>
  <si>
    <t>icbmbfqb</t>
  </si>
  <si>
    <t>icgddrqk</t>
  </si>
  <si>
    <t>ifomvwpk</t>
  </si>
  <si>
    <t>ifskxsgr</t>
  </si>
  <si>
    <t>ivnpgban</t>
  </si>
  <si>
    <t>iztdnkqz</t>
  </si>
  <si>
    <t>jarhgmub</t>
  </si>
  <si>
    <t>jgrpnvil</t>
  </si>
  <si>
    <t>jhrvrggo</t>
  </si>
  <si>
    <t>jszxcuxx</t>
  </si>
  <si>
    <t>jvcllvko</t>
  </si>
  <si>
    <t>jxgqnvpx</t>
  </si>
  <si>
    <t>jyrrbwon</t>
  </si>
  <si>
    <t>kcqqvvon</t>
  </si>
  <si>
    <t>kdxpqsjj</t>
  </si>
  <si>
    <t>kltxxoqv</t>
  </si>
  <si>
    <t>kmlcsefq</t>
  </si>
  <si>
    <t>knifvikn</t>
  </si>
  <si>
    <t>knrhgdai</t>
  </si>
  <si>
    <t>koqfbdwf</t>
  </si>
  <si>
    <t>kpoujdyl</t>
  </si>
  <si>
    <t>kqbdcljv</t>
  </si>
  <si>
    <t>Nasdaq Nordic and Baltic Exchanges</t>
  </si>
  <si>
    <t>krqkwnaw</t>
  </si>
  <si>
    <t>kwbxqlin</t>
  </si>
  <si>
    <t>kweyaukr</t>
  </si>
  <si>
    <t>ldjllwvy</t>
  </si>
  <si>
    <t>lenpuaop</t>
  </si>
  <si>
    <t>lkxgzzvq</t>
  </si>
  <si>
    <t>loffykcg</t>
  </si>
  <si>
    <t>lpzjhtkm</t>
  </si>
  <si>
    <t>maizvkuo</t>
  </si>
  <si>
    <t>mfdlyjqb</t>
  </si>
  <si>
    <t>mfwvjgje</t>
  </si>
  <si>
    <t>mghfyjbr</t>
  </si>
  <si>
    <t>mjbwcafl</t>
  </si>
  <si>
    <t>mjyuxzvj</t>
  </si>
  <si>
    <t>mkxkerbr</t>
  </si>
  <si>
    <t>mxmztjnk</t>
  </si>
  <si>
    <t>mxpzparg</t>
  </si>
  <si>
    <t>nheepbxg</t>
  </si>
  <si>
    <t>njxhycea</t>
  </si>
  <si>
    <t>nklszbdc</t>
  </si>
  <si>
    <t>nqgoiuik</t>
  </si>
  <si>
    <t>nriklgrf</t>
  </si>
  <si>
    <t>nuleyiit</t>
  </si>
  <si>
    <t>nzyednpn</t>
  </si>
  <si>
    <t>ogszgnpm</t>
  </si>
  <si>
    <t>ohtzxhrm</t>
  </si>
  <si>
    <t>olnjegug</t>
  </si>
  <si>
    <t>oplgqwal</t>
  </si>
  <si>
    <t>orgnwenh</t>
  </si>
  <si>
    <t>ossshndu</t>
  </si>
  <si>
    <t>pberstsl</t>
  </si>
  <si>
    <t>pcifviip</t>
  </si>
  <si>
    <t>pnsxdhqo</t>
  </si>
  <si>
    <t>poohpdwc</t>
  </si>
  <si>
    <t>pswtoazn</t>
  </si>
  <si>
    <t>pxkjcmpp</t>
  </si>
  <si>
    <t>pxzcvvvv</t>
  </si>
  <si>
    <t>pyljmfku</t>
  </si>
  <si>
    <t>pysaclod</t>
  </si>
  <si>
    <t>pywztrno</t>
  </si>
  <si>
    <t>qdqbwhng</t>
  </si>
  <si>
    <t>qexyofhb</t>
  </si>
  <si>
    <t>qhprzdnb</t>
  </si>
  <si>
    <t>qklyndfp</t>
  </si>
  <si>
    <t>qonnwndv</t>
  </si>
  <si>
    <t>rcmrnpig</t>
  </si>
  <si>
    <t>rfngluke</t>
  </si>
  <si>
    <t>rgbcrwet</t>
  </si>
  <si>
    <t>rkupdsbn</t>
  </si>
  <si>
    <t>rxbzlipl</t>
  </si>
  <si>
    <t>rypujago</t>
  </si>
  <si>
    <t>scoljxeg</t>
  </si>
  <si>
    <t>seaeoiib</t>
  </si>
  <si>
    <t>sejklwar</t>
  </si>
  <si>
    <t>seszlhqz</t>
  </si>
  <si>
    <t>sgdkuekd</t>
  </si>
  <si>
    <t>slqawwyu</t>
  </si>
  <si>
    <t>stsjuvrd</t>
  </si>
  <si>
    <t>tazccemg</t>
  </si>
  <si>
    <t>tgayvhvz</t>
  </si>
  <si>
    <t>tiebtpqq</t>
  </si>
  <si>
    <t>tjtyuhoi</t>
  </si>
  <si>
    <t>tsmbtvip</t>
  </si>
  <si>
    <t>tsrjnkjg</t>
  </si>
  <si>
    <t>ttxgpfqy</t>
  </si>
  <si>
    <t>tuneagik</t>
  </si>
  <si>
    <t>twxakkhn</t>
  </si>
  <si>
    <t>txuwmhfn</t>
  </si>
  <si>
    <t>tyoavqhc</t>
  </si>
  <si>
    <t>ucjtvrzo</t>
  </si>
  <si>
    <t>ueoaufxg</t>
  </si>
  <si>
    <t>ugegxjpi</t>
  </si>
  <si>
    <t>uijhzhtp</t>
  </si>
  <si>
    <t>uiytklhp</t>
  </si>
  <si>
    <t>umdvcmek</t>
  </si>
  <si>
    <t>unxxstxp</t>
  </si>
  <si>
    <t>upcbwvls</t>
  </si>
  <si>
    <t>uvenvheh</t>
  </si>
  <si>
    <t>vajwbmmv</t>
  </si>
  <si>
    <t>vggvbbxh</t>
  </si>
  <si>
    <t>vjtxbscg</t>
  </si>
  <si>
    <t>vnkvbrpg</t>
  </si>
  <si>
    <t>vqkagvwm</t>
  </si>
  <si>
    <t>waxzujox</t>
  </si>
  <si>
    <t>wfglkcmq</t>
  </si>
  <si>
    <t>wgpoqytj</t>
  </si>
  <si>
    <t>wgzgfkki</t>
  </si>
  <si>
    <t>wiujcxll</t>
  </si>
  <si>
    <t>wmesgogf</t>
  </si>
  <si>
    <t>wzerurjz</t>
  </si>
  <si>
    <t>xbcdvdtp</t>
  </si>
  <si>
    <t>xgimgqvp</t>
  </si>
  <si>
    <t>xgszegxx</t>
  </si>
  <si>
    <t>xgxazdwr</t>
  </si>
  <si>
    <t>xkdlzakx</t>
  </si>
  <si>
    <t>xmfevyrg</t>
  </si>
  <si>
    <t>xmzhzbvl</t>
  </si>
  <si>
    <t>xslzwome</t>
  </si>
  <si>
    <t>xydeqivj</t>
  </si>
  <si>
    <t>ybasexlh</t>
  </si>
  <si>
    <t>ydcmffnz</t>
  </si>
  <si>
    <t>yjrqvwdc</t>
  </si>
  <si>
    <t>ynqvlbrq</t>
  </si>
  <si>
    <t>ynrcizqr</t>
  </si>
  <si>
    <t>ypdwpcvo</t>
  </si>
  <si>
    <t>yrvvdedn</t>
  </si>
  <si>
    <t>ysndnwiy</t>
  </si>
  <si>
    <t>ywfotaaf</t>
  </si>
  <si>
    <t>yyclexzy</t>
  </si>
  <si>
    <t>zhhtkovi</t>
  </si>
  <si>
    <t>zkxftiop</t>
  </si>
  <si>
    <t>zlqfijoe</t>
  </si>
  <si>
    <t>zrgkwdyf</t>
  </si>
  <si>
    <t>zsbkamjf</t>
  </si>
  <si>
    <t>zsylhezi</t>
  </si>
  <si>
    <t>zvxjotpr</t>
  </si>
  <si>
    <t>​</t>
  </si>
  <si>
    <t>Totale complessivo</t>
  </si>
  <si>
    <t>Num of Trades</t>
  </si>
  <si>
    <t>Trade ID</t>
  </si>
  <si>
    <t>Duration</t>
  </si>
  <si>
    <t>Profit</t>
  </si>
  <si>
    <t>Number of trades</t>
  </si>
  <si>
    <t>TOTALE</t>
  </si>
  <si>
    <t>Probabilità che una qualunque azione sia stata acquistata in quantità pari a 7 unità nel Regno Unito</t>
  </si>
  <si>
    <t>Probabilità che una qualunque azione sia stata acquistata in quantità non superiore a 8 unità in un qualunque stato asiatico</t>
  </si>
  <si>
    <t>(India, Iran, South Korea, Saudi Arabia, Japan, Hong Kong, China, Taiwan)</t>
  </si>
  <si>
    <t>Mandatory to pay taxes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</si>
</sst>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
    <numFmt numFmtId="165" formatCode="[$$-409]#,##0.00000"/>
  </numFmts>
  <fonts count="16">
    <font>
      <sz val="10"/>
      <color rgb="FF000000"/>
      <name val="Arial"/>
      <scheme val="minor"/>
    </font>
    <font>
      <b/>
      <sz val="14"/>
      <color rgb="FF000000"/>
      <name val="Calibri"/>
    </font>
    <font>
      <sz val="10"/>
      <color rgb="FF000000"/>
      <name val="Monospace"/>
    </font>
    <font>
      <sz val="10"/>
      <color rgb="FF000000"/>
      <name val="Calibri"/>
    </font>
    <font>
      <sz val="10"/>
      <color theme="1"/>
      <name val="Calibri"/>
    </font>
    <font>
      <sz val="11"/>
      <color rgb="FF000000"/>
      <name val="Monospace"/>
    </font>
    <font>
      <sz val="10"/>
      <color rgb="FF303F9F"/>
      <name val="Monospace"/>
    </font>
    <font>
      <sz val="10"/>
      <color theme="1"/>
      <name val="Inherit"/>
    </font>
    <font>
      <sz val="10"/>
      <color theme="1"/>
      <name val="Monospace"/>
    </font>
    <font>
      <sz val="12"/>
      <color rgb="FF0070C0"/>
      <name val="Comic Sans MS"/>
    </font>
    <font>
      <sz val="10"/>
      <color rgb="FF000000"/>
      <name val="Comic Sans MS"/>
      <family val="4"/>
    </font>
    <font>
      <sz val="10"/>
      <color rgb="FF000000"/>
      <name val="Arial"/>
      <scheme val="minor"/>
    </font>
    <font>
      <b/>
      <sz val="12"/>
      <color rgb="FF0070C0"/>
      <name val="Comic Sans MS"/>
      <family val="4"/>
    </font>
    <font>
      <sz val="10"/>
      <color rgb="FF000000"/>
      <name val="Arial"/>
      <family val="2"/>
      <scheme val="minor"/>
    </font>
    <font>
      <sz val="10"/>
      <color theme="1"/>
      <name val="Calibri"/>
      <family val="2"/>
    </font>
    <font>
      <sz val="12"/>
      <color rgb="FF0070C0"/>
      <name val="Comic Sans MS"/>
      <family val="4"/>
    </font>
  </fonts>
  <fills count="5">
    <fill>
      <patternFill patternType="none"/>
    </fill>
    <fill>
      <patternFill patternType="gray125"/>
    </fill>
    <fill>
      <patternFill patternType="solid">
        <fgColor rgb="FFFFFFFF"/>
        <bgColor rgb="FFFFFFFF"/>
      </patternFill>
    </fill>
    <fill>
      <patternFill patternType="solid">
        <fgColor rgb="FFF7F7F7"/>
        <bgColor rgb="FFF7F7F7"/>
      </patternFill>
    </fill>
    <fill>
      <patternFill patternType="solid">
        <fgColor theme="4" tint="0.79998168889431442"/>
        <bgColor theme="4" tint="0.79998168889431442"/>
      </patternFill>
    </fill>
  </fills>
  <borders count="24">
    <border>
      <left/>
      <right/>
      <top/>
      <bottom/>
      <diagonal/>
    </border>
    <border>
      <left style="double">
        <color rgb="FF000000"/>
      </left>
      <right style="double">
        <color rgb="FF000000"/>
      </right>
      <top style="double">
        <color rgb="FF000000"/>
      </top>
      <bottom style="double">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double">
        <color rgb="FF000000"/>
      </left>
      <right style="double">
        <color rgb="FF000000"/>
      </right>
      <top style="double">
        <color rgb="FF000000"/>
      </top>
      <bottom style="double">
        <color indexed="64"/>
      </bottom>
      <diagonal/>
    </border>
    <border>
      <left style="thin">
        <color indexed="64"/>
      </left>
      <right style="thin">
        <color indexed="64"/>
      </right>
      <top/>
      <bottom style="thin">
        <color indexed="64"/>
      </bottom>
      <diagonal/>
    </border>
    <border>
      <left style="double">
        <color indexed="64"/>
      </left>
      <right style="double">
        <color indexed="64"/>
      </right>
      <top style="double">
        <color indexed="64"/>
      </top>
      <bottom style="double">
        <color indexed="64"/>
      </bottom>
      <diagonal/>
    </border>
    <border>
      <left/>
      <right style="double">
        <color indexed="64"/>
      </right>
      <top/>
      <bottom/>
      <diagonal/>
    </border>
    <border>
      <left style="double">
        <color indexed="64"/>
      </left>
      <right/>
      <top style="double">
        <color indexed="64"/>
      </top>
      <bottom style="double">
        <color indexed="64"/>
      </bottom>
      <diagonal/>
    </border>
    <border>
      <left style="double">
        <color indexed="64"/>
      </left>
      <right/>
      <top/>
      <bottom style="double">
        <color indexed="64"/>
      </bottom>
      <diagonal/>
    </border>
    <border>
      <left style="double">
        <color indexed="64"/>
      </left>
      <right style="double">
        <color indexed="64"/>
      </right>
      <top/>
      <bottom style="double">
        <color indexed="64"/>
      </bottom>
      <diagonal/>
    </border>
    <border>
      <left/>
      <right style="double">
        <color indexed="64"/>
      </right>
      <top style="double">
        <color indexed="64"/>
      </top>
      <bottom style="double">
        <color indexed="64"/>
      </bottom>
      <diagonal/>
    </border>
    <border>
      <left/>
      <right/>
      <top/>
      <bottom style="double">
        <color indexed="64"/>
      </bottom>
      <diagonal/>
    </border>
    <border>
      <left/>
      <right style="double">
        <color indexed="64"/>
      </right>
      <top/>
      <bottom style="double">
        <color indexed="64"/>
      </bottom>
      <diagonal/>
    </border>
    <border>
      <left/>
      <right style="double">
        <color indexed="64"/>
      </right>
      <top style="double">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right/>
      <top style="double">
        <color indexed="64"/>
      </top>
      <bottom style="double">
        <color indexed="64"/>
      </bottom>
      <diagonal/>
    </border>
  </borders>
  <cellStyleXfs count="2">
    <xf numFmtId="0" fontId="0" fillId="0" borderId="0"/>
    <xf numFmtId="9" fontId="11" fillId="0" borderId="0" applyFont="0" applyFill="0" applyBorder="0" applyAlignment="0" applyProtection="0"/>
  </cellStyleXfs>
  <cellXfs count="57">
    <xf numFmtId="0" fontId="0" fillId="0" borderId="0" xfId="0"/>
    <xf numFmtId="0" fontId="1" fillId="0" borderId="0" xfId="0" applyFont="1"/>
    <xf numFmtId="0" fontId="2" fillId="0" borderId="0" xfId="0" applyFont="1" applyAlignment="1">
      <alignment horizontal="left" wrapText="1"/>
    </xf>
    <xf numFmtId="0" fontId="3" fillId="0" borderId="0" xfId="0" applyFont="1"/>
    <xf numFmtId="0" fontId="4" fillId="0" borderId="0" xfId="0" applyFont="1"/>
    <xf numFmtId="0" fontId="6" fillId="0" borderId="0" xfId="0" applyFont="1" applyAlignment="1">
      <alignment horizontal="center" wrapText="1"/>
    </xf>
    <xf numFmtId="0" fontId="4" fillId="0" borderId="0" xfId="0" applyFont="1" applyAlignment="1">
      <alignment horizontal="center"/>
    </xf>
    <xf numFmtId="0" fontId="7" fillId="0" borderId="0" xfId="0" applyFont="1" applyAlignment="1">
      <alignment horizontal="center"/>
    </xf>
    <xf numFmtId="0" fontId="5" fillId="3" borderId="0" xfId="0" applyFont="1" applyFill="1" applyAlignment="1">
      <alignment horizontal="center" wrapText="1"/>
    </xf>
    <xf numFmtId="0" fontId="8" fillId="0" borderId="0" xfId="0" applyFont="1" applyAlignment="1">
      <alignment horizontal="center"/>
    </xf>
    <xf numFmtId="0" fontId="0" fillId="0" borderId="0" xfId="0" applyAlignment="1">
      <alignment horizontal="center"/>
    </xf>
    <xf numFmtId="0" fontId="9" fillId="0" borderId="1" xfId="0" applyFont="1" applyBorder="1"/>
    <xf numFmtId="0" fontId="4" fillId="0" borderId="2" xfId="0" applyFont="1" applyBorder="1"/>
    <xf numFmtId="0" fontId="5" fillId="2" borderId="2" xfId="0" applyFont="1" applyFill="1" applyBorder="1" applyAlignment="1">
      <alignment horizontal="center" wrapText="1"/>
    </xf>
    <xf numFmtId="11" fontId="5" fillId="2" borderId="2" xfId="0" applyNumberFormat="1" applyFont="1" applyFill="1" applyBorder="1" applyAlignment="1">
      <alignment horizontal="center" wrapText="1"/>
    </xf>
    <xf numFmtId="0" fontId="4" fillId="0" borderId="2" xfId="0" applyFont="1" applyBorder="1" applyAlignment="1">
      <alignment horizontal="left"/>
    </xf>
    <xf numFmtId="14" fontId="2" fillId="0" borderId="2" xfId="0" applyNumberFormat="1" applyFont="1" applyBorder="1" applyAlignment="1">
      <alignment horizontal="left" wrapText="1"/>
    </xf>
    <xf numFmtId="164" fontId="2" fillId="0" borderId="2" xfId="0" applyNumberFormat="1" applyFont="1" applyBorder="1" applyAlignment="1">
      <alignment horizontal="center" wrapText="1"/>
    </xf>
    <xf numFmtId="0" fontId="10" fillId="0" borderId="0" xfId="0" applyFont="1"/>
    <xf numFmtId="0" fontId="0" fillId="0" borderId="0" xfId="0" applyAlignment="1">
      <alignment horizontal="center" vertical="center"/>
    </xf>
    <xf numFmtId="0" fontId="0" fillId="0" borderId="0" xfId="0" applyAlignment="1">
      <alignment horizontal="left" vertical="center"/>
    </xf>
    <xf numFmtId="0" fontId="10" fillId="0" borderId="0" xfId="0" applyFont="1" applyAlignment="1">
      <alignment horizontal="center" vertical="center"/>
    </xf>
    <xf numFmtId="0" fontId="0" fillId="0" borderId="3" xfId="0" applyBorder="1" applyAlignment="1">
      <alignment horizontal="left" vertical="center"/>
    </xf>
    <xf numFmtId="0" fontId="0" fillId="0" borderId="3" xfId="0" applyBorder="1"/>
    <xf numFmtId="0" fontId="0" fillId="0" borderId="3" xfId="0" applyBorder="1" applyAlignment="1">
      <alignment horizontal="center" vertical="center"/>
    </xf>
    <xf numFmtId="0" fontId="0" fillId="0" borderId="5" xfId="0" applyBorder="1" applyAlignment="1">
      <alignment horizontal="center" vertical="center"/>
    </xf>
    <xf numFmtId="165" fontId="0" fillId="0" borderId="3" xfId="0" applyNumberFormat="1" applyBorder="1"/>
    <xf numFmtId="0" fontId="4" fillId="0" borderId="13" xfId="0" applyFont="1" applyBorder="1"/>
    <xf numFmtId="0" fontId="14" fillId="0" borderId="13" xfId="0" applyFont="1" applyBorder="1"/>
    <xf numFmtId="0" fontId="15" fillId="0" borderId="6" xfId="0" applyFont="1" applyBorder="1" applyAlignment="1">
      <alignment horizontal="center" vertical="center"/>
    </xf>
    <xf numFmtId="0" fontId="15" fillId="0" borderId="6" xfId="0" pivotButton="1" applyFont="1" applyBorder="1" applyAlignment="1">
      <alignment horizontal="center" vertical="center"/>
    </xf>
    <xf numFmtId="0" fontId="4" fillId="0" borderId="14" xfId="0" applyFont="1" applyBorder="1"/>
    <xf numFmtId="0" fontId="4" fillId="0" borderId="11" xfId="0" applyFont="1" applyBorder="1"/>
    <xf numFmtId="0" fontId="4" fillId="0" borderId="7" xfId="0" applyFont="1" applyBorder="1"/>
    <xf numFmtId="0" fontId="13" fillId="0" borderId="15" xfId="0" applyFont="1" applyBorder="1" applyAlignment="1">
      <alignment horizontal="center" vertical="center"/>
    </xf>
    <xf numFmtId="0" fontId="13" fillId="0" borderId="16" xfId="0" applyFont="1" applyBorder="1" applyAlignment="1">
      <alignment horizontal="center" vertical="center"/>
    </xf>
    <xf numFmtId="0" fontId="13" fillId="0" borderId="17" xfId="0" applyFont="1" applyBorder="1" applyAlignment="1">
      <alignment horizontal="center" vertical="center"/>
    </xf>
    <xf numFmtId="0" fontId="13" fillId="0" borderId="15" xfId="0" applyFont="1" applyBorder="1" applyAlignment="1">
      <alignment horizontal="center"/>
    </xf>
    <xf numFmtId="0" fontId="13" fillId="0" borderId="16" xfId="0" applyFont="1" applyBorder="1" applyAlignment="1">
      <alignment horizontal="center"/>
    </xf>
    <xf numFmtId="0" fontId="13" fillId="0" borderId="17" xfId="0" applyFont="1" applyBorder="1" applyAlignment="1">
      <alignment horizontal="center"/>
    </xf>
    <xf numFmtId="10" fontId="0" fillId="0" borderId="18" xfId="1" applyNumberFormat="1" applyFont="1" applyBorder="1" applyAlignment="1">
      <alignment horizontal="center" vertical="center"/>
    </xf>
    <xf numFmtId="10" fontId="0" fillId="0" borderId="19" xfId="1" applyNumberFormat="1" applyFont="1" applyBorder="1" applyAlignment="1">
      <alignment horizontal="center" vertical="center"/>
    </xf>
    <xf numFmtId="10" fontId="0" fillId="0" borderId="20" xfId="1" applyNumberFormat="1" applyFont="1" applyBorder="1" applyAlignment="1">
      <alignment horizontal="center" vertical="center"/>
    </xf>
    <xf numFmtId="0" fontId="13" fillId="0" borderId="21" xfId="0" applyFont="1" applyBorder="1" applyAlignment="1">
      <alignment horizontal="center" vertical="center"/>
    </xf>
    <xf numFmtId="0" fontId="13" fillId="0" borderId="0" xfId="0" applyFont="1" applyAlignment="1">
      <alignment horizontal="center" vertical="center"/>
    </xf>
    <xf numFmtId="0" fontId="13" fillId="0" borderId="22" xfId="0" applyFont="1" applyBorder="1" applyAlignment="1">
      <alignment horizontal="center" vertical="center"/>
    </xf>
    <xf numFmtId="0" fontId="15" fillId="0" borderId="4" xfId="0" applyFont="1" applyBorder="1" applyAlignment="1">
      <alignment horizontal="center" vertical="center"/>
    </xf>
    <xf numFmtId="0" fontId="9" fillId="0" borderId="8" xfId="0" applyFont="1" applyBorder="1" applyAlignment="1">
      <alignment horizontal="center" vertical="center"/>
    </xf>
    <xf numFmtId="0" fontId="9" fillId="0" borderId="23" xfId="0" applyFont="1" applyBorder="1" applyAlignment="1">
      <alignment horizontal="center" vertical="center"/>
    </xf>
    <xf numFmtId="0" fontId="9" fillId="0" borderId="11" xfId="0" applyFont="1" applyBorder="1" applyAlignment="1">
      <alignment horizontal="center" vertical="center"/>
    </xf>
    <xf numFmtId="0" fontId="15" fillId="0" borderId="9" xfId="0" applyFont="1" applyBorder="1" applyAlignment="1">
      <alignment horizontal="center" vertical="center"/>
    </xf>
    <xf numFmtId="0" fontId="15" fillId="0" borderId="10" xfId="0" applyFont="1" applyBorder="1" applyAlignment="1">
      <alignment horizontal="center" vertical="center"/>
    </xf>
    <xf numFmtId="0" fontId="15" fillId="0" borderId="12" xfId="0" applyFont="1" applyBorder="1" applyAlignment="1">
      <alignment horizontal="center" vertical="center"/>
    </xf>
    <xf numFmtId="0" fontId="15" fillId="0" borderId="8" xfId="0" applyFont="1" applyBorder="1" applyAlignment="1">
      <alignment horizontal="center" vertical="center"/>
    </xf>
    <xf numFmtId="0" fontId="15" fillId="0" borderId="13" xfId="0" applyFont="1" applyBorder="1" applyAlignment="1">
      <alignment horizontal="center" vertical="center"/>
    </xf>
    <xf numFmtId="0" fontId="15" fillId="0" borderId="6" xfId="0" applyFont="1" applyBorder="1" applyAlignment="1">
      <alignment horizontal="center" vertical="center"/>
    </xf>
    <xf numFmtId="0" fontId="12" fillId="4" borderId="4" xfId="0" applyFont="1" applyFill="1" applyBorder="1" applyAlignment="1">
      <alignment horizontal="center" vertical="center"/>
    </xf>
  </cellXfs>
  <cellStyles count="2">
    <cellStyle name="Normale" xfId="0" builtinId="0"/>
    <cellStyle name="Percentuale" xfId="1" builtinId="5"/>
  </cellStyles>
  <dxfs count="115">
    <dxf>
      <font>
        <color rgb="FF0070C0"/>
      </font>
    </dxf>
    <dxf>
      <font>
        <color rgb="FF0070C0"/>
      </font>
    </dxf>
    <dxf>
      <font>
        <color rgb="FF0070C0"/>
      </font>
    </dxf>
    <dxf>
      <font>
        <name val="Comic Sans MS"/>
        <family val="4"/>
        <scheme val="none"/>
      </font>
    </dxf>
    <dxf>
      <font>
        <name val="Comic Sans MS"/>
        <family val="4"/>
        <scheme val="none"/>
      </font>
    </dxf>
    <dxf>
      <font>
        <name val="Comic Sans MS"/>
        <family val="4"/>
        <scheme val="none"/>
      </font>
    </dxf>
    <dxf>
      <font>
        <sz val="12"/>
      </font>
    </dxf>
    <dxf>
      <font>
        <sz val="12"/>
      </font>
    </dxf>
    <dxf>
      <font>
        <sz val="12"/>
      </font>
    </dxf>
    <dxf>
      <border>
        <left style="double">
          <color indexed="64"/>
        </left>
        <right style="double">
          <color indexed="64"/>
        </right>
        <top style="double">
          <color indexed="64"/>
        </top>
        <bottom style="double">
          <color indexed="64"/>
        </bottom>
      </border>
    </dxf>
    <dxf>
      <border>
        <left style="double">
          <color indexed="64"/>
        </left>
        <right style="double">
          <color indexed="64"/>
        </right>
        <top style="double">
          <color indexed="64"/>
        </top>
        <bottom style="double">
          <color indexed="64"/>
        </bottom>
      </border>
    </dxf>
    <dxf>
      <border>
        <left style="double">
          <color indexed="64"/>
        </left>
        <right style="double">
          <color indexed="64"/>
        </right>
        <top style="double">
          <color indexed="64"/>
        </top>
        <bottom style="double">
          <color indexed="64"/>
        </bottom>
      </bord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vertical="center"/>
    </dxf>
    <dxf>
      <alignment vertic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double">
          <color indexed="64"/>
        </bottom>
      </border>
    </dxf>
    <dxf>
      <alignment vertical="center"/>
    </dxf>
    <dxf>
      <alignment vertical="center"/>
    </dxf>
    <dxf>
      <alignment vertical="center"/>
    </dxf>
    <dxf>
      <alignment horizontal="cent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calcChain" Target="calcChain.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Frequenza Duration</cx:v>
        </cx:txData>
      </cx:tx>
      <cx:txPr>
        <a:bodyPr spcFirstLastPara="1" vertOverflow="ellipsis" horzOverflow="overflow" wrap="square" lIns="0" tIns="0" rIns="0" bIns="0" anchor="ctr" anchorCtr="1"/>
        <a:lstStyle/>
        <a:p>
          <a:pPr algn="ctr" rtl="0">
            <a:defRPr/>
          </a:pPr>
          <a:r>
            <a:rPr lang="it-IT" sz="1400" b="0" i="0" u="none" strike="noStrike" baseline="0">
              <a:solidFill>
                <a:srgbClr val="000000">
                  <a:lumMod val="65000"/>
                  <a:lumOff val="35000"/>
                </a:srgbClr>
              </a:solidFill>
              <a:latin typeface="Arial"/>
              <a:cs typeface="Arial"/>
            </a:rPr>
            <a:t>Frequenza Duration</a:t>
          </a:r>
        </a:p>
      </cx:txPr>
    </cx:title>
    <cx:plotArea>
      <cx:plotAreaRegion>
        <cx:series layoutId="clusteredColumn" uniqueId="{7B56F4BE-2E5B-4EAA-A0AA-EF07197B78F6}">
          <cx:tx>
            <cx:txData>
              <cx:f>_xlchart.v1.0</cx:f>
              <cx:v>Duration</cx:v>
            </cx:txData>
          </cx:tx>
          <cx:spPr>
            <a:ln w="9525">
              <a:solidFill>
                <a:srgbClr val="FFFF00"/>
              </a:solidFill>
            </a:ln>
          </cx:spPr>
          <cx:dataId val="0"/>
          <cx:layoutPr>
            <cx:binning intervalClosed="r" underflow="auto">
              <cx:binSize val="30"/>
            </cx:binning>
          </cx:layoutPr>
        </cx:series>
      </cx:plotAreaRegion>
      <cx:axis id="0">
        <cx:catScaling gapWidth="0"/>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4</xdr:col>
      <xdr:colOff>4762</xdr:colOff>
      <xdr:row>0</xdr:row>
      <xdr:rowOff>133350</xdr:rowOff>
    </xdr:from>
    <xdr:to>
      <xdr:col>16</xdr:col>
      <xdr:colOff>409575</xdr:colOff>
      <xdr:row>24</xdr:row>
      <xdr:rowOff>47625</xdr:rowOff>
    </xdr:to>
    <mc:AlternateContent xmlns:mc="http://schemas.openxmlformats.org/markup-compatibility/2006">
      <mc:Choice xmlns:cx1="http://schemas.microsoft.com/office/drawing/2015/9/8/chartex" Requires="cx1">
        <xdr:graphicFrame macro="">
          <xdr:nvGraphicFramePr>
            <xdr:cNvPr id="5" name="Grafico 4">
              <a:extLst>
                <a:ext uri="{FF2B5EF4-FFF2-40B4-BE49-F238E27FC236}">
                  <a16:creationId xmlns:a16="http://schemas.microsoft.com/office/drawing/2014/main" id="{56B77EC2-E3DC-04A2-1F23-2F135FE4C30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719387" y="133350"/>
              <a:ext cx="7720013" cy="3914775"/>
            </a:xfrm>
            <a:prstGeom prst="rect">
              <a:avLst/>
            </a:prstGeom>
            <a:solidFill>
              <a:prstClr val="white"/>
            </a:solidFill>
            <a:ln w="1">
              <a:solidFill>
                <a:prstClr val="green"/>
              </a:solidFill>
            </a:ln>
          </xdr:spPr>
          <xdr:txBody>
            <a:bodyPr vertOverflow="clip" horzOverflow="clip"/>
            <a:lstStyle/>
            <a:p>
              <a:r>
                <a:rPr lang="it-IT" sz="1100"/>
                <a:t>Il grafico non è disponibile in questa versione di Excel.
Se si modifica questa forma o si salva la cartella di lavoro in un formato di file diverso, il grafico verrà danneggiato in modo permanente.</a:t>
              </a:r>
            </a:p>
          </xdr:txBody>
        </xdr:sp>
      </mc:Fallback>
    </mc:AlternateContent>
    <xdr:clientData/>
  </xdr:twoCellAnchor>
  <xdr:twoCellAnchor>
    <xdr:from>
      <xdr:col>6</xdr:col>
      <xdr:colOff>533400</xdr:colOff>
      <xdr:row>24</xdr:row>
      <xdr:rowOff>114300</xdr:rowOff>
    </xdr:from>
    <xdr:to>
      <xdr:col>14</xdr:col>
      <xdr:colOff>381000</xdr:colOff>
      <xdr:row>37</xdr:row>
      <xdr:rowOff>57150</xdr:rowOff>
    </xdr:to>
    <xdr:sp macro="" textlink="">
      <xdr:nvSpPr>
        <xdr:cNvPr id="6" name="CasellaDiTesto 5">
          <a:extLst>
            <a:ext uri="{FF2B5EF4-FFF2-40B4-BE49-F238E27FC236}">
              <a16:creationId xmlns:a16="http://schemas.microsoft.com/office/drawing/2014/main" id="{77406003-D52F-8A5F-C620-4BDB2F8AA83A}"/>
            </a:ext>
          </a:extLst>
        </xdr:cNvPr>
        <xdr:cNvSpPr txBox="1"/>
      </xdr:nvSpPr>
      <xdr:spPr>
        <a:xfrm>
          <a:off x="4467225" y="4114800"/>
          <a:ext cx="4724400" cy="20478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it-IT" sz="1100"/>
            <a:t>Il grafico</a:t>
          </a:r>
          <a:r>
            <a:rPr lang="it-IT" sz="1100" baseline="0"/>
            <a:t> sopra rappresentato è stato realizzato selezionando la colonna "Duration" e scegliendo il tipo di grafico "istogramma". </a:t>
          </a:r>
        </a:p>
        <a:p>
          <a:r>
            <a:rPr lang="it-IT" sz="1100" baseline="0"/>
            <a:t>L'ampiezza delle classi si è ottenuta impostando la larghezza dei bin al valore "30", cioè raggruppando il tempo di mantenimento delle azioni in classi da 30 giorni ciascuna, in modo da ottenere un adeguato livello di dettaglio senza compromettere la leggibilità del grafico.</a:t>
          </a:r>
        </a:p>
        <a:p>
          <a:r>
            <a:rPr lang="it-IT" sz="1100" baseline="0"/>
            <a:t>La frequenza di mantenimento maggiore appartiene alla classe "600-630" giorni, mentre i minimi appartengono alle classi "90-120" e "840-870" giorni. </a:t>
          </a:r>
        </a:p>
        <a:p>
          <a:r>
            <a:rPr lang="it-IT" sz="1100" baseline="0"/>
            <a:t>La distribuzione ottenuta non ricalca una distribuzione normale in quanto le frequenze ottenute non si dispongono secondo la curva a campana tipica della distribuzione gaussiana.</a:t>
          </a:r>
          <a:endParaRPr lang="it-IT"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ssimiliano izzo" refreshedDate="45434.476579513888" createdVersion="8" refreshedVersion="8" minRefreshableVersion="3" recordCount="201" xr:uid="{46632F4E-ED53-47B7-91FA-25011FBDAF39}">
  <cacheSource type="worksheet">
    <worksheetSource ref="A1:D202" sheet="Stock exchanges"/>
  </cacheSource>
  <cacheFields count="6">
    <cacheField name="Region" numFmtId="0">
      <sharedItems containsBlank="1" count="18">
        <s v="India"/>
        <s v="Iran"/>
        <s v="Switzerland"/>
        <s v="Europe"/>
        <s v="South Korea"/>
        <s v="South Africa"/>
        <s v="Canada"/>
        <s v="Germany"/>
        <s v="Saudi Arabia"/>
        <s v="Japan"/>
        <s v="Hong Kong"/>
        <s v="China"/>
        <s v="United Kingdom"/>
        <s v="Brazil"/>
        <s v="United States"/>
        <s v="Taiwan"/>
        <s v="Australia"/>
        <m/>
      </sharedItems>
    </cacheField>
    <cacheField name="Stock exchange" numFmtId="0">
      <sharedItems containsBlank="1" count="22">
        <s v="Bombay Stock Exchange"/>
        <s v="Tehran Stock Exchange"/>
        <s v="National Stock Exchange"/>
        <s v="SIX Swiss Exchange"/>
        <s v="Euronext"/>
        <s v="Korea Exchange"/>
        <s v="Johannesburg Stock Exchange"/>
        <s v="Toronto Stock Exchange"/>
        <s v="Deutsche Börse AG"/>
        <s v="Saudi Stock Exchange (Tadawul)"/>
        <s v="Japan Exchange Group"/>
        <s v="Hong Kong Stock Exchange"/>
        <s v="Shanghai Stock Exchange"/>
        <s v="London Stock Exchange"/>
        <s v="B3 Brasil Bolsa Balcão"/>
        <s v="Nasdaq"/>
        <s v="Shenzhen Stock Exchange"/>
        <s v="Taiwan Stock Exchange"/>
        <s v="New York Stock Exchange"/>
        <s v="Australian Securities Exchange"/>
        <s v="Nasdaq Nordic and Baltic Exchanges"/>
        <m/>
      </sharedItems>
    </cacheField>
    <cacheField name="Trades" numFmtId="0">
      <sharedItems containsSemiMixedTypes="0" containsString="0" containsNumber="1" containsInteger="1" minValue="1" maxValue="1019" count="11">
        <n v="7"/>
        <n v="2"/>
        <n v="6"/>
        <n v="1"/>
        <n v="9"/>
        <n v="3"/>
        <n v="4"/>
        <n v="10"/>
        <n v="5"/>
        <n v="8"/>
        <n v="1019"/>
      </sharedItems>
    </cacheField>
    <cacheField name="Region (Unici)" numFmtId="0">
      <sharedItems containsBlank="1"/>
    </cacheField>
    <cacheField name="Somma per Stato" numFmtId="0">
      <sharedItems containsString="0" containsBlank="1" containsNumber="1" containsInteger="1" minValue="34" maxValue="1019"/>
    </cacheField>
    <cacheField name="Mandatory to pay taxes" numFmtId="0">
      <sharedItems containsBlank="1" count="3">
        <s v="yes"/>
        <s v="no"/>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1">
  <r>
    <x v="0"/>
    <x v="0"/>
    <x v="0"/>
    <s v="India"/>
    <n v="111"/>
    <x v="0"/>
  </r>
  <r>
    <x v="1"/>
    <x v="1"/>
    <x v="1"/>
    <s v="Iran"/>
    <n v="40"/>
    <x v="1"/>
  </r>
  <r>
    <x v="0"/>
    <x v="2"/>
    <x v="2"/>
    <s v="Switzerland"/>
    <n v="49"/>
    <x v="1"/>
  </r>
  <r>
    <x v="2"/>
    <x v="3"/>
    <x v="3"/>
    <s v="Europe"/>
    <n v="70"/>
    <x v="0"/>
  </r>
  <r>
    <x v="0"/>
    <x v="0"/>
    <x v="4"/>
    <s v="South Korea"/>
    <n v="36"/>
    <x v="1"/>
  </r>
  <r>
    <x v="3"/>
    <x v="4"/>
    <x v="3"/>
    <s v="South Africa"/>
    <n v="34"/>
    <x v="1"/>
  </r>
  <r>
    <x v="4"/>
    <x v="5"/>
    <x v="5"/>
    <s v="Canada"/>
    <n v="46"/>
    <x v="1"/>
  </r>
  <r>
    <x v="5"/>
    <x v="6"/>
    <x v="6"/>
    <s v="Germany"/>
    <n v="81"/>
    <x v="0"/>
  </r>
  <r>
    <x v="6"/>
    <x v="7"/>
    <x v="7"/>
    <s v="Saudi Arabia"/>
    <n v="35"/>
    <x v="1"/>
  </r>
  <r>
    <x v="3"/>
    <x v="4"/>
    <x v="2"/>
    <s v="Japan"/>
    <n v="43"/>
    <x v="1"/>
  </r>
  <r>
    <x v="7"/>
    <x v="8"/>
    <x v="8"/>
    <s v="Hong Kong"/>
    <n v="54"/>
    <x v="1"/>
  </r>
  <r>
    <x v="0"/>
    <x v="0"/>
    <x v="7"/>
    <s v="China"/>
    <n v="74"/>
    <x v="0"/>
  </r>
  <r>
    <x v="0"/>
    <x v="0"/>
    <x v="9"/>
    <s v="United Kingdom"/>
    <n v="38"/>
    <x v="1"/>
  </r>
  <r>
    <x v="8"/>
    <x v="9"/>
    <x v="2"/>
    <s v="Brazil"/>
    <n v="83"/>
    <x v="0"/>
  </r>
  <r>
    <x v="5"/>
    <x v="6"/>
    <x v="2"/>
    <s v="United States"/>
    <n v="88"/>
    <x v="0"/>
  </r>
  <r>
    <x v="9"/>
    <x v="10"/>
    <x v="9"/>
    <s v="Taiwan"/>
    <n v="57"/>
    <x v="1"/>
  </r>
  <r>
    <x v="10"/>
    <x v="11"/>
    <x v="8"/>
    <s v="Australia"/>
    <n v="80"/>
    <x v="0"/>
  </r>
  <r>
    <x v="11"/>
    <x v="12"/>
    <x v="6"/>
    <s v="Totale"/>
    <n v="1019"/>
    <x v="2"/>
  </r>
  <r>
    <x v="0"/>
    <x v="2"/>
    <x v="3"/>
    <m/>
    <m/>
    <x v="2"/>
  </r>
  <r>
    <x v="9"/>
    <x v="10"/>
    <x v="3"/>
    <m/>
    <m/>
    <x v="2"/>
  </r>
  <r>
    <x v="12"/>
    <x v="13"/>
    <x v="3"/>
    <m/>
    <m/>
    <x v="2"/>
  </r>
  <r>
    <x v="0"/>
    <x v="0"/>
    <x v="4"/>
    <m/>
    <m/>
    <x v="2"/>
  </r>
  <r>
    <x v="13"/>
    <x v="14"/>
    <x v="1"/>
    <m/>
    <m/>
    <x v="2"/>
  </r>
  <r>
    <x v="14"/>
    <x v="15"/>
    <x v="5"/>
    <m/>
    <m/>
    <x v="2"/>
  </r>
  <r>
    <x v="6"/>
    <x v="7"/>
    <x v="1"/>
    <m/>
    <m/>
    <x v="2"/>
  </r>
  <r>
    <x v="13"/>
    <x v="14"/>
    <x v="9"/>
    <m/>
    <m/>
    <x v="2"/>
  </r>
  <r>
    <x v="4"/>
    <x v="5"/>
    <x v="0"/>
    <m/>
    <m/>
    <x v="2"/>
  </r>
  <r>
    <x v="0"/>
    <x v="0"/>
    <x v="3"/>
    <m/>
    <m/>
    <x v="2"/>
  </r>
  <r>
    <x v="0"/>
    <x v="0"/>
    <x v="5"/>
    <m/>
    <m/>
    <x v="2"/>
  </r>
  <r>
    <x v="7"/>
    <x v="8"/>
    <x v="3"/>
    <m/>
    <m/>
    <x v="2"/>
  </r>
  <r>
    <x v="12"/>
    <x v="13"/>
    <x v="0"/>
    <m/>
    <m/>
    <x v="2"/>
  </r>
  <r>
    <x v="11"/>
    <x v="16"/>
    <x v="4"/>
    <m/>
    <m/>
    <x v="2"/>
  </r>
  <r>
    <x v="15"/>
    <x v="17"/>
    <x v="4"/>
    <m/>
    <m/>
    <x v="2"/>
  </r>
  <r>
    <x v="7"/>
    <x v="8"/>
    <x v="8"/>
    <m/>
    <m/>
    <x v="2"/>
  </r>
  <r>
    <x v="2"/>
    <x v="3"/>
    <x v="9"/>
    <m/>
    <m/>
    <x v="2"/>
  </r>
  <r>
    <x v="3"/>
    <x v="4"/>
    <x v="5"/>
    <m/>
    <m/>
    <x v="2"/>
  </r>
  <r>
    <x v="15"/>
    <x v="17"/>
    <x v="6"/>
    <m/>
    <m/>
    <x v="2"/>
  </r>
  <r>
    <x v="7"/>
    <x v="8"/>
    <x v="5"/>
    <m/>
    <m/>
    <x v="2"/>
  </r>
  <r>
    <x v="14"/>
    <x v="18"/>
    <x v="7"/>
    <m/>
    <m/>
    <x v="2"/>
  </r>
  <r>
    <x v="1"/>
    <x v="1"/>
    <x v="6"/>
    <m/>
    <m/>
    <x v="2"/>
  </r>
  <r>
    <x v="14"/>
    <x v="18"/>
    <x v="7"/>
    <m/>
    <m/>
    <x v="2"/>
  </r>
  <r>
    <x v="1"/>
    <x v="1"/>
    <x v="7"/>
    <m/>
    <m/>
    <x v="2"/>
  </r>
  <r>
    <x v="9"/>
    <x v="10"/>
    <x v="2"/>
    <m/>
    <m/>
    <x v="2"/>
  </r>
  <r>
    <x v="0"/>
    <x v="0"/>
    <x v="3"/>
    <m/>
    <m/>
    <x v="2"/>
  </r>
  <r>
    <x v="11"/>
    <x v="12"/>
    <x v="4"/>
    <m/>
    <m/>
    <x v="2"/>
  </r>
  <r>
    <x v="7"/>
    <x v="8"/>
    <x v="2"/>
    <m/>
    <m/>
    <x v="2"/>
  </r>
  <r>
    <x v="10"/>
    <x v="11"/>
    <x v="0"/>
    <m/>
    <m/>
    <x v="2"/>
  </r>
  <r>
    <x v="6"/>
    <x v="7"/>
    <x v="7"/>
    <m/>
    <m/>
    <x v="2"/>
  </r>
  <r>
    <x v="4"/>
    <x v="5"/>
    <x v="5"/>
    <m/>
    <m/>
    <x v="2"/>
  </r>
  <r>
    <x v="12"/>
    <x v="13"/>
    <x v="4"/>
    <m/>
    <m/>
    <x v="2"/>
  </r>
  <r>
    <x v="14"/>
    <x v="15"/>
    <x v="6"/>
    <m/>
    <m/>
    <x v="2"/>
  </r>
  <r>
    <x v="2"/>
    <x v="3"/>
    <x v="3"/>
    <m/>
    <m/>
    <x v="2"/>
  </r>
  <r>
    <x v="2"/>
    <x v="3"/>
    <x v="4"/>
    <m/>
    <m/>
    <x v="2"/>
  </r>
  <r>
    <x v="12"/>
    <x v="13"/>
    <x v="1"/>
    <m/>
    <m/>
    <x v="2"/>
  </r>
  <r>
    <x v="4"/>
    <x v="5"/>
    <x v="0"/>
    <m/>
    <m/>
    <x v="2"/>
  </r>
  <r>
    <x v="5"/>
    <x v="6"/>
    <x v="6"/>
    <m/>
    <m/>
    <x v="2"/>
  </r>
  <r>
    <x v="9"/>
    <x v="10"/>
    <x v="1"/>
    <m/>
    <m/>
    <x v="2"/>
  </r>
  <r>
    <x v="11"/>
    <x v="16"/>
    <x v="6"/>
    <m/>
    <m/>
    <x v="2"/>
  </r>
  <r>
    <x v="7"/>
    <x v="8"/>
    <x v="2"/>
    <m/>
    <m/>
    <x v="2"/>
  </r>
  <r>
    <x v="16"/>
    <x v="19"/>
    <x v="2"/>
    <m/>
    <m/>
    <x v="2"/>
  </r>
  <r>
    <x v="8"/>
    <x v="9"/>
    <x v="0"/>
    <m/>
    <m/>
    <x v="2"/>
  </r>
  <r>
    <x v="1"/>
    <x v="1"/>
    <x v="9"/>
    <m/>
    <m/>
    <x v="2"/>
  </r>
  <r>
    <x v="13"/>
    <x v="14"/>
    <x v="4"/>
    <m/>
    <m/>
    <x v="2"/>
  </r>
  <r>
    <x v="7"/>
    <x v="8"/>
    <x v="8"/>
    <m/>
    <m/>
    <x v="2"/>
  </r>
  <r>
    <x v="5"/>
    <x v="6"/>
    <x v="3"/>
    <m/>
    <m/>
    <x v="2"/>
  </r>
  <r>
    <x v="11"/>
    <x v="16"/>
    <x v="1"/>
    <m/>
    <m/>
    <x v="2"/>
  </r>
  <r>
    <x v="13"/>
    <x v="14"/>
    <x v="3"/>
    <m/>
    <m/>
    <x v="2"/>
  </r>
  <r>
    <x v="14"/>
    <x v="18"/>
    <x v="6"/>
    <m/>
    <m/>
    <x v="2"/>
  </r>
  <r>
    <x v="0"/>
    <x v="0"/>
    <x v="6"/>
    <m/>
    <m/>
    <x v="2"/>
  </r>
  <r>
    <x v="16"/>
    <x v="19"/>
    <x v="8"/>
    <m/>
    <m/>
    <x v="2"/>
  </r>
  <r>
    <x v="14"/>
    <x v="15"/>
    <x v="3"/>
    <m/>
    <m/>
    <x v="2"/>
  </r>
  <r>
    <x v="10"/>
    <x v="11"/>
    <x v="0"/>
    <m/>
    <m/>
    <x v="2"/>
  </r>
  <r>
    <x v="3"/>
    <x v="4"/>
    <x v="6"/>
    <m/>
    <m/>
    <x v="2"/>
  </r>
  <r>
    <x v="2"/>
    <x v="3"/>
    <x v="2"/>
    <m/>
    <m/>
    <x v="2"/>
  </r>
  <r>
    <x v="13"/>
    <x v="14"/>
    <x v="3"/>
    <m/>
    <m/>
    <x v="2"/>
  </r>
  <r>
    <x v="0"/>
    <x v="2"/>
    <x v="5"/>
    <m/>
    <m/>
    <x v="2"/>
  </r>
  <r>
    <x v="7"/>
    <x v="8"/>
    <x v="8"/>
    <m/>
    <m/>
    <x v="2"/>
  </r>
  <r>
    <x v="13"/>
    <x v="14"/>
    <x v="5"/>
    <m/>
    <m/>
    <x v="2"/>
  </r>
  <r>
    <x v="15"/>
    <x v="17"/>
    <x v="8"/>
    <m/>
    <m/>
    <x v="2"/>
  </r>
  <r>
    <x v="0"/>
    <x v="0"/>
    <x v="2"/>
    <m/>
    <m/>
    <x v="2"/>
  </r>
  <r>
    <x v="16"/>
    <x v="19"/>
    <x v="7"/>
    <m/>
    <m/>
    <x v="2"/>
  </r>
  <r>
    <x v="9"/>
    <x v="10"/>
    <x v="9"/>
    <m/>
    <m/>
    <x v="2"/>
  </r>
  <r>
    <x v="11"/>
    <x v="12"/>
    <x v="3"/>
    <m/>
    <m/>
    <x v="2"/>
  </r>
  <r>
    <x v="3"/>
    <x v="20"/>
    <x v="2"/>
    <m/>
    <m/>
    <x v="2"/>
  </r>
  <r>
    <x v="14"/>
    <x v="15"/>
    <x v="3"/>
    <m/>
    <m/>
    <x v="2"/>
  </r>
  <r>
    <x v="3"/>
    <x v="20"/>
    <x v="2"/>
    <m/>
    <m/>
    <x v="2"/>
  </r>
  <r>
    <x v="16"/>
    <x v="19"/>
    <x v="0"/>
    <m/>
    <m/>
    <x v="2"/>
  </r>
  <r>
    <x v="7"/>
    <x v="8"/>
    <x v="2"/>
    <m/>
    <m/>
    <x v="2"/>
  </r>
  <r>
    <x v="0"/>
    <x v="2"/>
    <x v="0"/>
    <m/>
    <m/>
    <x v="2"/>
  </r>
  <r>
    <x v="3"/>
    <x v="4"/>
    <x v="7"/>
    <m/>
    <m/>
    <x v="2"/>
  </r>
  <r>
    <x v="0"/>
    <x v="0"/>
    <x v="1"/>
    <m/>
    <m/>
    <x v="2"/>
  </r>
  <r>
    <x v="13"/>
    <x v="14"/>
    <x v="6"/>
    <m/>
    <m/>
    <x v="2"/>
  </r>
  <r>
    <x v="14"/>
    <x v="18"/>
    <x v="1"/>
    <m/>
    <m/>
    <x v="2"/>
  </r>
  <r>
    <x v="16"/>
    <x v="19"/>
    <x v="8"/>
    <m/>
    <m/>
    <x v="2"/>
  </r>
  <r>
    <x v="3"/>
    <x v="4"/>
    <x v="1"/>
    <m/>
    <m/>
    <x v="2"/>
  </r>
  <r>
    <x v="3"/>
    <x v="20"/>
    <x v="8"/>
    <m/>
    <m/>
    <x v="2"/>
  </r>
  <r>
    <x v="16"/>
    <x v="19"/>
    <x v="0"/>
    <m/>
    <m/>
    <x v="2"/>
  </r>
  <r>
    <x v="3"/>
    <x v="20"/>
    <x v="6"/>
    <m/>
    <m/>
    <x v="2"/>
  </r>
  <r>
    <x v="0"/>
    <x v="2"/>
    <x v="8"/>
    <m/>
    <m/>
    <x v="2"/>
  </r>
  <r>
    <x v="6"/>
    <x v="7"/>
    <x v="2"/>
    <m/>
    <m/>
    <x v="2"/>
  </r>
  <r>
    <x v="16"/>
    <x v="19"/>
    <x v="5"/>
    <m/>
    <m/>
    <x v="2"/>
  </r>
  <r>
    <x v="15"/>
    <x v="17"/>
    <x v="7"/>
    <m/>
    <m/>
    <x v="2"/>
  </r>
  <r>
    <x v="8"/>
    <x v="9"/>
    <x v="8"/>
    <m/>
    <m/>
    <x v="2"/>
  </r>
  <r>
    <x v="16"/>
    <x v="19"/>
    <x v="0"/>
    <m/>
    <m/>
    <x v="2"/>
  </r>
  <r>
    <x v="8"/>
    <x v="9"/>
    <x v="3"/>
    <m/>
    <m/>
    <x v="2"/>
  </r>
  <r>
    <x v="14"/>
    <x v="15"/>
    <x v="7"/>
    <m/>
    <m/>
    <x v="2"/>
  </r>
  <r>
    <x v="13"/>
    <x v="14"/>
    <x v="0"/>
    <m/>
    <m/>
    <x v="2"/>
  </r>
  <r>
    <x v="10"/>
    <x v="11"/>
    <x v="7"/>
    <m/>
    <m/>
    <x v="2"/>
  </r>
  <r>
    <x v="3"/>
    <x v="4"/>
    <x v="3"/>
    <m/>
    <m/>
    <x v="2"/>
  </r>
  <r>
    <x v="13"/>
    <x v="14"/>
    <x v="0"/>
    <m/>
    <m/>
    <x v="2"/>
  </r>
  <r>
    <x v="2"/>
    <x v="3"/>
    <x v="9"/>
    <m/>
    <m/>
    <x v="2"/>
  </r>
  <r>
    <x v="13"/>
    <x v="14"/>
    <x v="4"/>
    <m/>
    <m/>
    <x v="2"/>
  </r>
  <r>
    <x v="1"/>
    <x v="1"/>
    <x v="1"/>
    <m/>
    <m/>
    <x v="2"/>
  </r>
  <r>
    <x v="9"/>
    <x v="10"/>
    <x v="4"/>
    <m/>
    <m/>
    <x v="2"/>
  </r>
  <r>
    <x v="4"/>
    <x v="5"/>
    <x v="3"/>
    <m/>
    <m/>
    <x v="2"/>
  </r>
  <r>
    <x v="14"/>
    <x v="15"/>
    <x v="9"/>
    <m/>
    <m/>
    <x v="2"/>
  </r>
  <r>
    <x v="16"/>
    <x v="19"/>
    <x v="3"/>
    <m/>
    <m/>
    <x v="2"/>
  </r>
  <r>
    <x v="12"/>
    <x v="13"/>
    <x v="6"/>
    <m/>
    <m/>
    <x v="2"/>
  </r>
  <r>
    <x v="0"/>
    <x v="0"/>
    <x v="2"/>
    <m/>
    <m/>
    <x v="2"/>
  </r>
  <r>
    <x v="0"/>
    <x v="2"/>
    <x v="5"/>
    <m/>
    <m/>
    <x v="2"/>
  </r>
  <r>
    <x v="10"/>
    <x v="11"/>
    <x v="4"/>
    <m/>
    <m/>
    <x v="2"/>
  </r>
  <r>
    <x v="2"/>
    <x v="3"/>
    <x v="7"/>
    <m/>
    <m/>
    <x v="2"/>
  </r>
  <r>
    <x v="7"/>
    <x v="8"/>
    <x v="4"/>
    <m/>
    <m/>
    <x v="2"/>
  </r>
  <r>
    <x v="5"/>
    <x v="6"/>
    <x v="3"/>
    <m/>
    <m/>
    <x v="2"/>
  </r>
  <r>
    <x v="1"/>
    <x v="1"/>
    <x v="2"/>
    <m/>
    <m/>
    <x v="2"/>
  </r>
  <r>
    <x v="16"/>
    <x v="19"/>
    <x v="9"/>
    <m/>
    <m/>
    <x v="2"/>
  </r>
  <r>
    <x v="13"/>
    <x v="14"/>
    <x v="1"/>
    <m/>
    <m/>
    <x v="2"/>
  </r>
  <r>
    <x v="10"/>
    <x v="11"/>
    <x v="8"/>
    <m/>
    <m/>
    <x v="2"/>
  </r>
  <r>
    <x v="16"/>
    <x v="19"/>
    <x v="1"/>
    <m/>
    <m/>
    <x v="2"/>
  </r>
  <r>
    <x v="0"/>
    <x v="2"/>
    <x v="7"/>
    <m/>
    <m/>
    <x v="2"/>
  </r>
  <r>
    <x v="15"/>
    <x v="17"/>
    <x v="7"/>
    <m/>
    <m/>
    <x v="2"/>
  </r>
  <r>
    <x v="14"/>
    <x v="18"/>
    <x v="2"/>
    <m/>
    <m/>
    <x v="2"/>
  </r>
  <r>
    <x v="6"/>
    <x v="7"/>
    <x v="1"/>
    <m/>
    <m/>
    <x v="2"/>
  </r>
  <r>
    <x v="7"/>
    <x v="8"/>
    <x v="1"/>
    <m/>
    <m/>
    <x v="2"/>
  </r>
  <r>
    <x v="14"/>
    <x v="15"/>
    <x v="0"/>
    <m/>
    <m/>
    <x v="2"/>
  </r>
  <r>
    <x v="3"/>
    <x v="20"/>
    <x v="4"/>
    <m/>
    <m/>
    <x v="2"/>
  </r>
  <r>
    <x v="7"/>
    <x v="8"/>
    <x v="5"/>
    <m/>
    <m/>
    <x v="2"/>
  </r>
  <r>
    <x v="12"/>
    <x v="13"/>
    <x v="2"/>
    <m/>
    <m/>
    <x v="2"/>
  </r>
  <r>
    <x v="15"/>
    <x v="17"/>
    <x v="5"/>
    <m/>
    <m/>
    <x v="2"/>
  </r>
  <r>
    <x v="6"/>
    <x v="7"/>
    <x v="8"/>
    <m/>
    <m/>
    <x v="2"/>
  </r>
  <r>
    <x v="3"/>
    <x v="20"/>
    <x v="6"/>
    <m/>
    <m/>
    <x v="2"/>
  </r>
  <r>
    <x v="6"/>
    <x v="7"/>
    <x v="8"/>
    <m/>
    <m/>
    <x v="2"/>
  </r>
  <r>
    <x v="11"/>
    <x v="16"/>
    <x v="5"/>
    <m/>
    <m/>
    <x v="2"/>
  </r>
  <r>
    <x v="3"/>
    <x v="20"/>
    <x v="3"/>
    <m/>
    <m/>
    <x v="2"/>
  </r>
  <r>
    <x v="11"/>
    <x v="16"/>
    <x v="6"/>
    <m/>
    <m/>
    <x v="2"/>
  </r>
  <r>
    <x v="5"/>
    <x v="6"/>
    <x v="7"/>
    <m/>
    <m/>
    <x v="2"/>
  </r>
  <r>
    <x v="12"/>
    <x v="13"/>
    <x v="0"/>
    <m/>
    <m/>
    <x v="2"/>
  </r>
  <r>
    <x v="4"/>
    <x v="5"/>
    <x v="3"/>
    <m/>
    <m/>
    <x v="2"/>
  </r>
  <r>
    <x v="13"/>
    <x v="14"/>
    <x v="0"/>
    <m/>
    <m/>
    <x v="2"/>
  </r>
  <r>
    <x v="1"/>
    <x v="1"/>
    <x v="5"/>
    <m/>
    <m/>
    <x v="2"/>
  </r>
  <r>
    <x v="16"/>
    <x v="19"/>
    <x v="8"/>
    <m/>
    <m/>
    <x v="2"/>
  </r>
  <r>
    <x v="16"/>
    <x v="19"/>
    <x v="3"/>
    <m/>
    <m/>
    <x v="2"/>
  </r>
  <r>
    <x v="7"/>
    <x v="8"/>
    <x v="2"/>
    <m/>
    <m/>
    <x v="2"/>
  </r>
  <r>
    <x v="11"/>
    <x v="16"/>
    <x v="9"/>
    <m/>
    <m/>
    <x v="2"/>
  </r>
  <r>
    <x v="11"/>
    <x v="16"/>
    <x v="6"/>
    <m/>
    <m/>
    <x v="2"/>
  </r>
  <r>
    <x v="7"/>
    <x v="8"/>
    <x v="4"/>
    <m/>
    <m/>
    <x v="2"/>
  </r>
  <r>
    <x v="16"/>
    <x v="19"/>
    <x v="1"/>
    <m/>
    <m/>
    <x v="2"/>
  </r>
  <r>
    <x v="0"/>
    <x v="0"/>
    <x v="1"/>
    <m/>
    <m/>
    <x v="2"/>
  </r>
  <r>
    <x v="0"/>
    <x v="0"/>
    <x v="1"/>
    <m/>
    <m/>
    <x v="2"/>
  </r>
  <r>
    <x v="8"/>
    <x v="9"/>
    <x v="1"/>
    <m/>
    <m/>
    <x v="2"/>
  </r>
  <r>
    <x v="14"/>
    <x v="15"/>
    <x v="9"/>
    <m/>
    <m/>
    <x v="2"/>
  </r>
  <r>
    <x v="11"/>
    <x v="12"/>
    <x v="8"/>
    <m/>
    <m/>
    <x v="2"/>
  </r>
  <r>
    <x v="6"/>
    <x v="7"/>
    <x v="2"/>
    <m/>
    <m/>
    <x v="2"/>
  </r>
  <r>
    <x v="13"/>
    <x v="14"/>
    <x v="0"/>
    <m/>
    <m/>
    <x v="2"/>
  </r>
  <r>
    <x v="0"/>
    <x v="0"/>
    <x v="5"/>
    <m/>
    <m/>
    <x v="2"/>
  </r>
  <r>
    <x v="11"/>
    <x v="12"/>
    <x v="6"/>
    <m/>
    <m/>
    <x v="2"/>
  </r>
  <r>
    <x v="3"/>
    <x v="4"/>
    <x v="5"/>
    <m/>
    <m/>
    <x v="2"/>
  </r>
  <r>
    <x v="14"/>
    <x v="18"/>
    <x v="5"/>
    <m/>
    <m/>
    <x v="2"/>
  </r>
  <r>
    <x v="16"/>
    <x v="19"/>
    <x v="3"/>
    <m/>
    <m/>
    <x v="2"/>
  </r>
  <r>
    <x v="12"/>
    <x v="13"/>
    <x v="1"/>
    <m/>
    <m/>
    <x v="2"/>
  </r>
  <r>
    <x v="4"/>
    <x v="5"/>
    <x v="9"/>
    <m/>
    <m/>
    <x v="2"/>
  </r>
  <r>
    <x v="4"/>
    <x v="5"/>
    <x v="2"/>
    <m/>
    <m/>
    <x v="2"/>
  </r>
  <r>
    <x v="11"/>
    <x v="12"/>
    <x v="6"/>
    <m/>
    <m/>
    <x v="2"/>
  </r>
  <r>
    <x v="2"/>
    <x v="3"/>
    <x v="2"/>
    <m/>
    <m/>
    <x v="2"/>
  </r>
  <r>
    <x v="9"/>
    <x v="10"/>
    <x v="5"/>
    <m/>
    <m/>
    <x v="2"/>
  </r>
  <r>
    <x v="3"/>
    <x v="20"/>
    <x v="8"/>
    <m/>
    <m/>
    <x v="2"/>
  </r>
  <r>
    <x v="11"/>
    <x v="12"/>
    <x v="2"/>
    <m/>
    <m/>
    <x v="2"/>
  </r>
  <r>
    <x v="7"/>
    <x v="8"/>
    <x v="0"/>
    <m/>
    <m/>
    <x v="2"/>
  </r>
  <r>
    <x v="14"/>
    <x v="18"/>
    <x v="9"/>
    <m/>
    <m/>
    <x v="2"/>
  </r>
  <r>
    <x v="1"/>
    <x v="1"/>
    <x v="8"/>
    <m/>
    <m/>
    <x v="2"/>
  </r>
  <r>
    <x v="14"/>
    <x v="18"/>
    <x v="5"/>
    <m/>
    <m/>
    <x v="2"/>
  </r>
  <r>
    <x v="8"/>
    <x v="9"/>
    <x v="8"/>
    <m/>
    <m/>
    <x v="2"/>
  </r>
  <r>
    <x v="8"/>
    <x v="9"/>
    <x v="1"/>
    <m/>
    <m/>
    <x v="2"/>
  </r>
  <r>
    <x v="8"/>
    <x v="9"/>
    <x v="0"/>
    <m/>
    <m/>
    <x v="2"/>
  </r>
  <r>
    <x v="15"/>
    <x v="17"/>
    <x v="0"/>
    <m/>
    <m/>
    <x v="2"/>
  </r>
  <r>
    <x v="0"/>
    <x v="2"/>
    <x v="3"/>
    <m/>
    <m/>
    <x v="2"/>
  </r>
  <r>
    <x v="5"/>
    <x v="6"/>
    <x v="8"/>
    <m/>
    <m/>
    <x v="2"/>
  </r>
  <r>
    <x v="9"/>
    <x v="10"/>
    <x v="2"/>
    <m/>
    <m/>
    <x v="2"/>
  </r>
  <r>
    <x v="7"/>
    <x v="8"/>
    <x v="5"/>
    <m/>
    <m/>
    <x v="2"/>
  </r>
  <r>
    <x v="0"/>
    <x v="0"/>
    <x v="1"/>
    <m/>
    <m/>
    <x v="2"/>
  </r>
  <r>
    <x v="10"/>
    <x v="11"/>
    <x v="2"/>
    <m/>
    <m/>
    <x v="2"/>
  </r>
  <r>
    <x v="11"/>
    <x v="12"/>
    <x v="2"/>
    <m/>
    <m/>
    <x v="2"/>
  </r>
  <r>
    <x v="11"/>
    <x v="16"/>
    <x v="3"/>
    <m/>
    <m/>
    <x v="2"/>
  </r>
  <r>
    <x v="5"/>
    <x v="6"/>
    <x v="5"/>
    <m/>
    <m/>
    <x v="2"/>
  </r>
  <r>
    <x v="13"/>
    <x v="14"/>
    <x v="1"/>
    <m/>
    <m/>
    <x v="2"/>
  </r>
  <r>
    <x v="16"/>
    <x v="19"/>
    <x v="7"/>
    <m/>
    <m/>
    <x v="2"/>
  </r>
  <r>
    <x v="10"/>
    <x v="11"/>
    <x v="8"/>
    <m/>
    <m/>
    <x v="2"/>
  </r>
  <r>
    <x v="13"/>
    <x v="14"/>
    <x v="2"/>
    <m/>
    <m/>
    <x v="2"/>
  </r>
  <r>
    <x v="15"/>
    <x v="17"/>
    <x v="4"/>
    <m/>
    <m/>
    <x v="2"/>
  </r>
  <r>
    <x v="13"/>
    <x v="14"/>
    <x v="9"/>
    <m/>
    <m/>
    <x v="2"/>
  </r>
  <r>
    <x v="17"/>
    <x v="21"/>
    <x v="10"/>
    <m/>
    <m/>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44F9337-4CA6-4855-BBA1-9652B10129A5}" name="Tabella pivot3" cacheId="1" applyNumberFormats="0" applyBorderFormats="0" applyFontFormats="0" applyPatternFormats="0" applyAlignmentFormats="0" applyWidthHeightFormats="1" dataCaption="Valori" updatedVersion="8" minRefreshableVersion="3" useAutoFormatting="1" itemPrintTitles="1" createdVersion="8" indent="0" compact="0" outline="1" outlineData="1" compactData="0" multipleFieldFilters="0">
  <location ref="A1:C40" firstHeaderRow="1" firstDataRow="1" firstDataCol="2"/>
  <pivotFields count="6">
    <pivotField axis="axisRow" compact="0" showAll="0">
      <items count="19">
        <item x="16"/>
        <item x="13"/>
        <item x="6"/>
        <item x="11"/>
        <item x="3"/>
        <item x="7"/>
        <item x="10"/>
        <item x="0"/>
        <item x="1"/>
        <item x="9"/>
        <item x="8"/>
        <item x="5"/>
        <item x="4"/>
        <item x="2"/>
        <item x="15"/>
        <item x="12"/>
        <item x="14"/>
        <item h="1" x="17"/>
        <item t="default"/>
      </items>
    </pivotField>
    <pivotField axis="axisRow" compact="0" showAll="0">
      <items count="23">
        <item x="19"/>
        <item x="14"/>
        <item x="0"/>
        <item x="8"/>
        <item x="4"/>
        <item x="11"/>
        <item x="10"/>
        <item x="6"/>
        <item x="5"/>
        <item x="13"/>
        <item x="15"/>
        <item x="20"/>
        <item x="2"/>
        <item x="18"/>
        <item x="9"/>
        <item x="12"/>
        <item x="16"/>
        <item x="3"/>
        <item x="17"/>
        <item x="1"/>
        <item x="7"/>
        <item h="1" x="21"/>
        <item t="default"/>
      </items>
    </pivotField>
    <pivotField dataField="1" compact="0" showAll="0">
      <items count="12">
        <item x="3"/>
        <item x="1"/>
        <item x="5"/>
        <item x="6"/>
        <item x="8"/>
        <item x="2"/>
        <item x="0"/>
        <item x="9"/>
        <item x="4"/>
        <item x="7"/>
        <item x="10"/>
        <item t="default"/>
      </items>
    </pivotField>
    <pivotField compact="0" showAll="0"/>
    <pivotField compact="0" showAll="0"/>
    <pivotField compact="0" showAll="0">
      <items count="4">
        <item x="1"/>
        <item x="0"/>
        <item x="2"/>
        <item t="default"/>
      </items>
    </pivotField>
  </pivotFields>
  <rowFields count="2">
    <field x="0"/>
    <field x="1"/>
  </rowFields>
  <rowItems count="39">
    <i>
      <x/>
    </i>
    <i r="1">
      <x/>
    </i>
    <i>
      <x v="1"/>
    </i>
    <i r="1">
      <x v="1"/>
    </i>
    <i>
      <x v="2"/>
    </i>
    <i r="1">
      <x v="20"/>
    </i>
    <i>
      <x v="3"/>
    </i>
    <i r="1">
      <x v="15"/>
    </i>
    <i r="1">
      <x v="16"/>
    </i>
    <i>
      <x v="4"/>
    </i>
    <i r="1">
      <x v="4"/>
    </i>
    <i r="1">
      <x v="11"/>
    </i>
    <i>
      <x v="5"/>
    </i>
    <i r="1">
      <x v="3"/>
    </i>
    <i>
      <x v="6"/>
    </i>
    <i r="1">
      <x v="5"/>
    </i>
    <i>
      <x v="7"/>
    </i>
    <i r="1">
      <x v="2"/>
    </i>
    <i r="1">
      <x v="12"/>
    </i>
    <i>
      <x v="8"/>
    </i>
    <i r="1">
      <x v="19"/>
    </i>
    <i>
      <x v="9"/>
    </i>
    <i r="1">
      <x v="6"/>
    </i>
    <i>
      <x v="10"/>
    </i>
    <i r="1">
      <x v="14"/>
    </i>
    <i>
      <x v="11"/>
    </i>
    <i r="1">
      <x v="7"/>
    </i>
    <i>
      <x v="12"/>
    </i>
    <i r="1">
      <x v="8"/>
    </i>
    <i>
      <x v="13"/>
    </i>
    <i r="1">
      <x v="17"/>
    </i>
    <i>
      <x v="14"/>
    </i>
    <i r="1">
      <x v="18"/>
    </i>
    <i>
      <x v="15"/>
    </i>
    <i r="1">
      <x v="9"/>
    </i>
    <i>
      <x v="16"/>
    </i>
    <i r="1">
      <x v="10"/>
    </i>
    <i r="1">
      <x v="13"/>
    </i>
    <i t="grand">
      <x/>
    </i>
  </rowItems>
  <colItems count="1">
    <i/>
  </colItems>
  <dataFields count="1">
    <dataField name="Num of Trades" fld="2" baseField="0" baseItem="0"/>
  </dataFields>
  <formats count="115">
    <format dxfId="0">
      <pivotArea field="0" type="button" dataOnly="0" labelOnly="1" outline="0" axis="axisRow" fieldPosition="0"/>
    </format>
    <format dxfId="1">
      <pivotArea field="1" type="button" dataOnly="0" labelOnly="1" outline="0" axis="axisRow" fieldPosition="1"/>
    </format>
    <format dxfId="2">
      <pivotArea dataOnly="0" labelOnly="1" outline="0" axis="axisValues" fieldPosition="0"/>
    </format>
    <format dxfId="3">
      <pivotArea field="0" type="button" dataOnly="0" labelOnly="1" outline="0" axis="axisRow" fieldPosition="0"/>
    </format>
    <format dxfId="4">
      <pivotArea field="1" type="button" dataOnly="0" labelOnly="1" outline="0" axis="axisRow" fieldPosition="1"/>
    </format>
    <format dxfId="5">
      <pivotArea dataOnly="0" labelOnly="1" outline="0" axis="axisValues" fieldPosition="0"/>
    </format>
    <format dxfId="6">
      <pivotArea field="0" type="button" dataOnly="0" labelOnly="1" outline="0" axis="axisRow" fieldPosition="0"/>
    </format>
    <format dxfId="7">
      <pivotArea field="1" type="button" dataOnly="0" labelOnly="1" outline="0" axis="axisRow" fieldPosition="1"/>
    </format>
    <format dxfId="8">
      <pivotArea dataOnly="0" labelOnly="1" outline="0" axis="axisValues" fieldPosition="0"/>
    </format>
    <format dxfId="9">
      <pivotArea field="0" type="button" dataOnly="0" labelOnly="1" outline="0" axis="axisRow" fieldPosition="0"/>
    </format>
    <format dxfId="10">
      <pivotArea field="1" type="button" dataOnly="0" labelOnly="1" outline="0" axis="axisRow" fieldPosition="1"/>
    </format>
    <format dxfId="11">
      <pivotArea dataOnly="0" labelOnly="1" outline="0" axis="axisValues" fieldPosition="0"/>
    </format>
    <format dxfId="12">
      <pivotArea dataOnly="0" labelOnly="1" outline="0" fieldPosition="0">
        <references count="1">
          <reference field="0" count="0"/>
        </references>
      </pivotArea>
    </format>
    <format dxfId="13">
      <pivotArea dataOnly="0" labelOnly="1" grandRow="1" outline="0" fieldPosition="0"/>
    </format>
    <format dxfId="14">
      <pivotArea dataOnly="0" labelOnly="1" outline="0" fieldPosition="0">
        <references count="2">
          <reference field="0" count="1" selected="0">
            <x v="0"/>
          </reference>
          <reference field="1" count="1">
            <x v="0"/>
          </reference>
        </references>
      </pivotArea>
    </format>
    <format dxfId="15">
      <pivotArea dataOnly="0" labelOnly="1" outline="0" fieldPosition="0">
        <references count="2">
          <reference field="0" count="1" selected="0">
            <x v="1"/>
          </reference>
          <reference field="1" count="1">
            <x v="1"/>
          </reference>
        </references>
      </pivotArea>
    </format>
    <format dxfId="16">
      <pivotArea dataOnly="0" labelOnly="1" outline="0" fieldPosition="0">
        <references count="2">
          <reference field="0" count="1" selected="0">
            <x v="2"/>
          </reference>
          <reference field="1" count="1">
            <x v="20"/>
          </reference>
        </references>
      </pivotArea>
    </format>
    <format dxfId="17">
      <pivotArea dataOnly="0" labelOnly="1" outline="0" fieldPosition="0">
        <references count="2">
          <reference field="0" count="1" selected="0">
            <x v="3"/>
          </reference>
          <reference field="1" count="2">
            <x v="15"/>
            <x v="16"/>
          </reference>
        </references>
      </pivotArea>
    </format>
    <format dxfId="18">
      <pivotArea dataOnly="0" labelOnly="1" outline="0" fieldPosition="0">
        <references count="2">
          <reference field="0" count="1" selected="0">
            <x v="4"/>
          </reference>
          <reference field="1" count="2">
            <x v="4"/>
            <x v="11"/>
          </reference>
        </references>
      </pivotArea>
    </format>
    <format dxfId="19">
      <pivotArea dataOnly="0" labelOnly="1" outline="0" fieldPosition="0">
        <references count="2">
          <reference field="0" count="1" selected="0">
            <x v="5"/>
          </reference>
          <reference field="1" count="1">
            <x v="3"/>
          </reference>
        </references>
      </pivotArea>
    </format>
    <format dxfId="20">
      <pivotArea dataOnly="0" labelOnly="1" outline="0" fieldPosition="0">
        <references count="2">
          <reference field="0" count="1" selected="0">
            <x v="6"/>
          </reference>
          <reference field="1" count="1">
            <x v="5"/>
          </reference>
        </references>
      </pivotArea>
    </format>
    <format dxfId="21">
      <pivotArea dataOnly="0" labelOnly="1" outline="0" fieldPosition="0">
        <references count="2">
          <reference field="0" count="1" selected="0">
            <x v="7"/>
          </reference>
          <reference field="1" count="2">
            <x v="2"/>
            <x v="12"/>
          </reference>
        </references>
      </pivotArea>
    </format>
    <format dxfId="22">
      <pivotArea dataOnly="0" labelOnly="1" outline="0" fieldPosition="0">
        <references count="2">
          <reference field="0" count="1" selected="0">
            <x v="8"/>
          </reference>
          <reference field="1" count="1">
            <x v="19"/>
          </reference>
        </references>
      </pivotArea>
    </format>
    <format dxfId="23">
      <pivotArea dataOnly="0" labelOnly="1" outline="0" fieldPosition="0">
        <references count="2">
          <reference field="0" count="1" selected="0">
            <x v="9"/>
          </reference>
          <reference field="1" count="1">
            <x v="6"/>
          </reference>
        </references>
      </pivotArea>
    </format>
    <format dxfId="24">
      <pivotArea dataOnly="0" labelOnly="1" outline="0" fieldPosition="0">
        <references count="2">
          <reference field="0" count="1" selected="0">
            <x v="10"/>
          </reference>
          <reference field="1" count="1">
            <x v="14"/>
          </reference>
        </references>
      </pivotArea>
    </format>
    <format dxfId="25">
      <pivotArea dataOnly="0" labelOnly="1" outline="0" fieldPosition="0">
        <references count="2">
          <reference field="0" count="1" selected="0">
            <x v="11"/>
          </reference>
          <reference field="1" count="1">
            <x v="7"/>
          </reference>
        </references>
      </pivotArea>
    </format>
    <format dxfId="26">
      <pivotArea dataOnly="0" labelOnly="1" outline="0" fieldPosition="0">
        <references count="2">
          <reference field="0" count="1" selected="0">
            <x v="12"/>
          </reference>
          <reference field="1" count="1">
            <x v="8"/>
          </reference>
        </references>
      </pivotArea>
    </format>
    <format dxfId="27">
      <pivotArea dataOnly="0" labelOnly="1" outline="0" fieldPosition="0">
        <references count="2">
          <reference field="0" count="1" selected="0">
            <x v="13"/>
          </reference>
          <reference field="1" count="1">
            <x v="17"/>
          </reference>
        </references>
      </pivotArea>
    </format>
    <format dxfId="28">
      <pivotArea dataOnly="0" labelOnly="1" outline="0" fieldPosition="0">
        <references count="2">
          <reference field="0" count="1" selected="0">
            <x v="14"/>
          </reference>
          <reference field="1" count="1">
            <x v="18"/>
          </reference>
        </references>
      </pivotArea>
    </format>
    <format dxfId="29">
      <pivotArea dataOnly="0" labelOnly="1" outline="0" fieldPosition="0">
        <references count="2">
          <reference field="0" count="1" selected="0">
            <x v="15"/>
          </reference>
          <reference field="1" count="1">
            <x v="9"/>
          </reference>
        </references>
      </pivotArea>
    </format>
    <format dxfId="30">
      <pivotArea dataOnly="0" labelOnly="1" outline="0" fieldPosition="0">
        <references count="2">
          <reference field="0" count="1" selected="0">
            <x v="16"/>
          </reference>
          <reference field="1" count="2">
            <x v="10"/>
            <x v="13"/>
          </reference>
        </references>
      </pivotArea>
    </format>
    <format dxfId="31">
      <pivotArea dataOnly="0" labelOnly="1" outline="0" fieldPosition="0">
        <references count="2">
          <reference field="0" count="1" selected="0">
            <x v="17"/>
          </reference>
          <reference field="1" count="1">
            <x v="21"/>
          </reference>
        </references>
      </pivotArea>
    </format>
    <format dxfId="32">
      <pivotArea dataOnly="0" labelOnly="1" outline="0" fieldPosition="0">
        <references count="1">
          <reference field="0" count="0"/>
        </references>
      </pivotArea>
    </format>
    <format dxfId="33">
      <pivotArea dataOnly="0" labelOnly="1" grandRow="1" outline="0" fieldPosition="0"/>
    </format>
    <format dxfId="34">
      <pivotArea dataOnly="0" labelOnly="1" outline="0" fieldPosition="0">
        <references count="2">
          <reference field="0" count="1" selected="0">
            <x v="0"/>
          </reference>
          <reference field="1" count="1">
            <x v="0"/>
          </reference>
        </references>
      </pivotArea>
    </format>
    <format dxfId="35">
      <pivotArea dataOnly="0" labelOnly="1" outline="0" fieldPosition="0">
        <references count="2">
          <reference field="0" count="1" selected="0">
            <x v="1"/>
          </reference>
          <reference field="1" count="1">
            <x v="1"/>
          </reference>
        </references>
      </pivotArea>
    </format>
    <format dxfId="36">
      <pivotArea dataOnly="0" labelOnly="1" outline="0" fieldPosition="0">
        <references count="2">
          <reference field="0" count="1" selected="0">
            <x v="2"/>
          </reference>
          <reference field="1" count="1">
            <x v="20"/>
          </reference>
        </references>
      </pivotArea>
    </format>
    <format dxfId="37">
      <pivotArea dataOnly="0" labelOnly="1" outline="0" fieldPosition="0">
        <references count="2">
          <reference field="0" count="1" selected="0">
            <x v="3"/>
          </reference>
          <reference field="1" count="2">
            <x v="15"/>
            <x v="16"/>
          </reference>
        </references>
      </pivotArea>
    </format>
    <format dxfId="38">
      <pivotArea dataOnly="0" labelOnly="1" outline="0" fieldPosition="0">
        <references count="2">
          <reference field="0" count="1" selected="0">
            <x v="4"/>
          </reference>
          <reference field="1" count="2">
            <x v="4"/>
            <x v="11"/>
          </reference>
        </references>
      </pivotArea>
    </format>
    <format dxfId="39">
      <pivotArea dataOnly="0" labelOnly="1" outline="0" fieldPosition="0">
        <references count="2">
          <reference field="0" count="1" selected="0">
            <x v="5"/>
          </reference>
          <reference field="1" count="1">
            <x v="3"/>
          </reference>
        </references>
      </pivotArea>
    </format>
    <format dxfId="40">
      <pivotArea dataOnly="0" labelOnly="1" outline="0" fieldPosition="0">
        <references count="2">
          <reference field="0" count="1" selected="0">
            <x v="6"/>
          </reference>
          <reference field="1" count="1">
            <x v="5"/>
          </reference>
        </references>
      </pivotArea>
    </format>
    <format dxfId="41">
      <pivotArea dataOnly="0" labelOnly="1" outline="0" fieldPosition="0">
        <references count="2">
          <reference field="0" count="1" selected="0">
            <x v="7"/>
          </reference>
          <reference field="1" count="2">
            <x v="2"/>
            <x v="12"/>
          </reference>
        </references>
      </pivotArea>
    </format>
    <format dxfId="42">
      <pivotArea dataOnly="0" labelOnly="1" outline="0" fieldPosition="0">
        <references count="2">
          <reference field="0" count="1" selected="0">
            <x v="8"/>
          </reference>
          <reference field="1" count="1">
            <x v="19"/>
          </reference>
        </references>
      </pivotArea>
    </format>
    <format dxfId="43">
      <pivotArea dataOnly="0" labelOnly="1" outline="0" fieldPosition="0">
        <references count="2">
          <reference field="0" count="1" selected="0">
            <x v="9"/>
          </reference>
          <reference field="1" count="1">
            <x v="6"/>
          </reference>
        </references>
      </pivotArea>
    </format>
    <format dxfId="44">
      <pivotArea dataOnly="0" labelOnly="1" outline="0" fieldPosition="0">
        <references count="2">
          <reference field="0" count="1" selected="0">
            <x v="10"/>
          </reference>
          <reference field="1" count="1">
            <x v="14"/>
          </reference>
        </references>
      </pivotArea>
    </format>
    <format dxfId="45">
      <pivotArea dataOnly="0" labelOnly="1" outline="0" fieldPosition="0">
        <references count="2">
          <reference field="0" count="1" selected="0">
            <x v="11"/>
          </reference>
          <reference field="1" count="1">
            <x v="7"/>
          </reference>
        </references>
      </pivotArea>
    </format>
    <format dxfId="46">
      <pivotArea dataOnly="0" labelOnly="1" outline="0" fieldPosition="0">
        <references count="2">
          <reference field="0" count="1" selected="0">
            <x v="12"/>
          </reference>
          <reference field="1" count="1">
            <x v="8"/>
          </reference>
        </references>
      </pivotArea>
    </format>
    <format dxfId="47">
      <pivotArea dataOnly="0" labelOnly="1" outline="0" fieldPosition="0">
        <references count="2">
          <reference field="0" count="1" selected="0">
            <x v="13"/>
          </reference>
          <reference field="1" count="1">
            <x v="17"/>
          </reference>
        </references>
      </pivotArea>
    </format>
    <format dxfId="48">
      <pivotArea dataOnly="0" labelOnly="1" outline="0" fieldPosition="0">
        <references count="2">
          <reference field="0" count="1" selected="0">
            <x v="14"/>
          </reference>
          <reference field="1" count="1">
            <x v="18"/>
          </reference>
        </references>
      </pivotArea>
    </format>
    <format dxfId="49">
      <pivotArea dataOnly="0" labelOnly="1" outline="0" fieldPosition="0">
        <references count="2">
          <reference field="0" count="1" selected="0">
            <x v="15"/>
          </reference>
          <reference field="1" count="1">
            <x v="9"/>
          </reference>
        </references>
      </pivotArea>
    </format>
    <format dxfId="50">
      <pivotArea dataOnly="0" labelOnly="1" outline="0" fieldPosition="0">
        <references count="2">
          <reference field="0" count="1" selected="0">
            <x v="16"/>
          </reference>
          <reference field="1" count="2">
            <x v="10"/>
            <x v="13"/>
          </reference>
        </references>
      </pivotArea>
    </format>
    <format dxfId="51">
      <pivotArea dataOnly="0" labelOnly="1" outline="0" fieldPosition="0">
        <references count="2">
          <reference field="0" count="1" selected="0">
            <x v="17"/>
          </reference>
          <reference field="1" count="1">
            <x v="21"/>
          </reference>
        </references>
      </pivotArea>
    </format>
    <format dxfId="52">
      <pivotArea outline="0" collapsedLevelsAreSubtotals="1" fieldPosition="0"/>
    </format>
    <format dxfId="53">
      <pivotArea dataOnly="0" labelOnly="1" outline="0" axis="axisValues" fieldPosition="0"/>
    </format>
    <format dxfId="54">
      <pivotArea outline="0" collapsedLevelsAreSubtotals="1" fieldPosition="0"/>
    </format>
    <format dxfId="55">
      <pivotArea dataOnly="0" labelOnly="1" outline="0" axis="axisValues" fieldPosition="0"/>
    </format>
    <format dxfId="56">
      <pivotArea fieldPosition="0">
        <references count="1">
          <reference field="0" count="1">
            <x v="0"/>
          </reference>
        </references>
      </pivotArea>
    </format>
    <format dxfId="57">
      <pivotArea fieldPosition="0">
        <references count="2">
          <reference field="0" count="1" selected="0">
            <x v="0"/>
          </reference>
          <reference field="1" count="1">
            <x v="0"/>
          </reference>
        </references>
      </pivotArea>
    </format>
    <format dxfId="58">
      <pivotArea fieldPosition="0">
        <references count="1">
          <reference field="0" count="1">
            <x v="1"/>
          </reference>
        </references>
      </pivotArea>
    </format>
    <format dxfId="59">
      <pivotArea fieldPosition="0">
        <references count="2">
          <reference field="0" count="1" selected="0">
            <x v="1"/>
          </reference>
          <reference field="1" count="1">
            <x v="1"/>
          </reference>
        </references>
      </pivotArea>
    </format>
    <format dxfId="60">
      <pivotArea fieldPosition="0">
        <references count="1">
          <reference field="0" count="1">
            <x v="2"/>
          </reference>
        </references>
      </pivotArea>
    </format>
    <format dxfId="61">
      <pivotArea fieldPosition="0">
        <references count="2">
          <reference field="0" count="1" selected="0">
            <x v="2"/>
          </reference>
          <reference field="1" count="1">
            <x v="20"/>
          </reference>
        </references>
      </pivotArea>
    </format>
    <format dxfId="62">
      <pivotArea fieldPosition="0">
        <references count="1">
          <reference field="0" count="1">
            <x v="3"/>
          </reference>
        </references>
      </pivotArea>
    </format>
    <format dxfId="63">
      <pivotArea fieldPosition="0">
        <references count="2">
          <reference field="0" count="1" selected="0">
            <x v="3"/>
          </reference>
          <reference field="1" count="2">
            <x v="15"/>
            <x v="16"/>
          </reference>
        </references>
      </pivotArea>
    </format>
    <format dxfId="64">
      <pivotArea fieldPosition="0">
        <references count="1">
          <reference field="0" count="1">
            <x v="4"/>
          </reference>
        </references>
      </pivotArea>
    </format>
    <format dxfId="65">
      <pivotArea fieldPosition="0">
        <references count="2">
          <reference field="0" count="1" selected="0">
            <x v="4"/>
          </reference>
          <reference field="1" count="2">
            <x v="4"/>
            <x v="11"/>
          </reference>
        </references>
      </pivotArea>
    </format>
    <format dxfId="66">
      <pivotArea fieldPosition="0">
        <references count="1">
          <reference field="0" count="1">
            <x v="5"/>
          </reference>
        </references>
      </pivotArea>
    </format>
    <format dxfId="67">
      <pivotArea fieldPosition="0">
        <references count="2">
          <reference field="0" count="1" selected="0">
            <x v="5"/>
          </reference>
          <reference field="1" count="1">
            <x v="3"/>
          </reference>
        </references>
      </pivotArea>
    </format>
    <format dxfId="68">
      <pivotArea fieldPosition="0">
        <references count="1">
          <reference field="0" count="1">
            <x v="6"/>
          </reference>
        </references>
      </pivotArea>
    </format>
    <format dxfId="69">
      <pivotArea fieldPosition="0">
        <references count="2">
          <reference field="0" count="1" selected="0">
            <x v="6"/>
          </reference>
          <reference field="1" count="1">
            <x v="5"/>
          </reference>
        </references>
      </pivotArea>
    </format>
    <format dxfId="70">
      <pivotArea fieldPosition="0">
        <references count="1">
          <reference field="0" count="1">
            <x v="7"/>
          </reference>
        </references>
      </pivotArea>
    </format>
    <format dxfId="71">
      <pivotArea fieldPosition="0">
        <references count="2">
          <reference field="0" count="1" selected="0">
            <x v="7"/>
          </reference>
          <reference field="1" count="2">
            <x v="2"/>
            <x v="12"/>
          </reference>
        </references>
      </pivotArea>
    </format>
    <format dxfId="72">
      <pivotArea fieldPosition="0">
        <references count="1">
          <reference field="0" count="1">
            <x v="8"/>
          </reference>
        </references>
      </pivotArea>
    </format>
    <format dxfId="73">
      <pivotArea fieldPosition="0">
        <references count="2">
          <reference field="0" count="1" selected="0">
            <x v="8"/>
          </reference>
          <reference field="1" count="1">
            <x v="19"/>
          </reference>
        </references>
      </pivotArea>
    </format>
    <format dxfId="74">
      <pivotArea fieldPosition="0">
        <references count="1">
          <reference field="0" count="1">
            <x v="9"/>
          </reference>
        </references>
      </pivotArea>
    </format>
    <format dxfId="75">
      <pivotArea fieldPosition="0">
        <references count="2">
          <reference field="0" count="1" selected="0">
            <x v="9"/>
          </reference>
          <reference field="1" count="1">
            <x v="6"/>
          </reference>
        </references>
      </pivotArea>
    </format>
    <format dxfId="76">
      <pivotArea fieldPosition="0">
        <references count="1">
          <reference field="0" count="1">
            <x v="10"/>
          </reference>
        </references>
      </pivotArea>
    </format>
    <format dxfId="77">
      <pivotArea fieldPosition="0">
        <references count="2">
          <reference field="0" count="1" selected="0">
            <x v="10"/>
          </reference>
          <reference field="1" count="1">
            <x v="14"/>
          </reference>
        </references>
      </pivotArea>
    </format>
    <format dxfId="78">
      <pivotArea fieldPosition="0">
        <references count="1">
          <reference field="0" count="1">
            <x v="11"/>
          </reference>
        </references>
      </pivotArea>
    </format>
    <format dxfId="79">
      <pivotArea fieldPosition="0">
        <references count="2">
          <reference field="0" count="1" selected="0">
            <x v="11"/>
          </reference>
          <reference field="1" count="1">
            <x v="7"/>
          </reference>
        </references>
      </pivotArea>
    </format>
    <format dxfId="80">
      <pivotArea fieldPosition="0">
        <references count="1">
          <reference field="0" count="1">
            <x v="12"/>
          </reference>
        </references>
      </pivotArea>
    </format>
    <format dxfId="81">
      <pivotArea fieldPosition="0">
        <references count="2">
          <reference field="0" count="1" selected="0">
            <x v="12"/>
          </reference>
          <reference field="1" count="1">
            <x v="8"/>
          </reference>
        </references>
      </pivotArea>
    </format>
    <format dxfId="82">
      <pivotArea fieldPosition="0">
        <references count="1">
          <reference field="0" count="1">
            <x v="13"/>
          </reference>
        </references>
      </pivotArea>
    </format>
    <format dxfId="83">
      <pivotArea fieldPosition="0">
        <references count="2">
          <reference field="0" count="1" selected="0">
            <x v="13"/>
          </reference>
          <reference field="1" count="1">
            <x v="17"/>
          </reference>
        </references>
      </pivotArea>
    </format>
    <format dxfId="84">
      <pivotArea fieldPosition="0">
        <references count="1">
          <reference field="0" count="1">
            <x v="14"/>
          </reference>
        </references>
      </pivotArea>
    </format>
    <format dxfId="85">
      <pivotArea fieldPosition="0">
        <references count="2">
          <reference field="0" count="1" selected="0">
            <x v="14"/>
          </reference>
          <reference field="1" count="1">
            <x v="18"/>
          </reference>
        </references>
      </pivotArea>
    </format>
    <format dxfId="86">
      <pivotArea fieldPosition="0">
        <references count="1">
          <reference field="0" count="1">
            <x v="15"/>
          </reference>
        </references>
      </pivotArea>
    </format>
    <format dxfId="87">
      <pivotArea fieldPosition="0">
        <references count="2">
          <reference field="0" count="1" selected="0">
            <x v="15"/>
          </reference>
          <reference field="1" count="1">
            <x v="9"/>
          </reference>
        </references>
      </pivotArea>
    </format>
    <format dxfId="88">
      <pivotArea fieldPosition="0">
        <references count="1">
          <reference field="0" count="1">
            <x v="16"/>
          </reference>
        </references>
      </pivotArea>
    </format>
    <format dxfId="89">
      <pivotArea fieldPosition="0">
        <references count="2">
          <reference field="0" count="1" selected="0">
            <x v="16"/>
          </reference>
          <reference field="1" count="2">
            <x v="10"/>
            <x v="13"/>
          </reference>
        </references>
      </pivotArea>
    </format>
    <format dxfId="90">
      <pivotArea dataOnly="0" labelOnly="1" outline="0" fieldPosition="0">
        <references count="1">
          <reference field="0" count="0"/>
        </references>
      </pivotArea>
    </format>
    <format dxfId="91">
      <pivotArea dataOnly="0" labelOnly="1" outline="0" fieldPosition="0">
        <references count="2">
          <reference field="0" count="1" selected="0">
            <x v="0"/>
          </reference>
          <reference field="1" count="1">
            <x v="0"/>
          </reference>
        </references>
      </pivotArea>
    </format>
    <format dxfId="92">
      <pivotArea dataOnly="0" labelOnly="1" outline="0" fieldPosition="0">
        <references count="2">
          <reference field="0" count="1" selected="0">
            <x v="1"/>
          </reference>
          <reference field="1" count="1">
            <x v="1"/>
          </reference>
        </references>
      </pivotArea>
    </format>
    <format dxfId="93">
      <pivotArea dataOnly="0" labelOnly="1" outline="0" fieldPosition="0">
        <references count="2">
          <reference field="0" count="1" selected="0">
            <x v="2"/>
          </reference>
          <reference field="1" count="1">
            <x v="20"/>
          </reference>
        </references>
      </pivotArea>
    </format>
    <format dxfId="94">
      <pivotArea dataOnly="0" labelOnly="1" outline="0" fieldPosition="0">
        <references count="2">
          <reference field="0" count="1" selected="0">
            <x v="3"/>
          </reference>
          <reference field="1" count="2">
            <x v="15"/>
            <x v="16"/>
          </reference>
        </references>
      </pivotArea>
    </format>
    <format dxfId="95">
      <pivotArea dataOnly="0" labelOnly="1" outline="0" fieldPosition="0">
        <references count="2">
          <reference field="0" count="1" selected="0">
            <x v="4"/>
          </reference>
          <reference field="1" count="2">
            <x v="4"/>
            <x v="11"/>
          </reference>
        </references>
      </pivotArea>
    </format>
    <format dxfId="96">
      <pivotArea dataOnly="0" labelOnly="1" outline="0" fieldPosition="0">
        <references count="2">
          <reference field="0" count="1" selected="0">
            <x v="5"/>
          </reference>
          <reference field="1" count="1">
            <x v="3"/>
          </reference>
        </references>
      </pivotArea>
    </format>
    <format dxfId="97">
      <pivotArea dataOnly="0" labelOnly="1" outline="0" fieldPosition="0">
        <references count="2">
          <reference field="0" count="1" selected="0">
            <x v="6"/>
          </reference>
          <reference field="1" count="1">
            <x v="5"/>
          </reference>
        </references>
      </pivotArea>
    </format>
    <format dxfId="98">
      <pivotArea dataOnly="0" labelOnly="1" outline="0" fieldPosition="0">
        <references count="2">
          <reference field="0" count="1" selected="0">
            <x v="7"/>
          </reference>
          <reference field="1" count="2">
            <x v="2"/>
            <x v="12"/>
          </reference>
        </references>
      </pivotArea>
    </format>
    <format dxfId="99">
      <pivotArea dataOnly="0" labelOnly="1" outline="0" fieldPosition="0">
        <references count="2">
          <reference field="0" count="1" selected="0">
            <x v="8"/>
          </reference>
          <reference field="1" count="1">
            <x v="19"/>
          </reference>
        </references>
      </pivotArea>
    </format>
    <format dxfId="100">
      <pivotArea dataOnly="0" labelOnly="1" outline="0" fieldPosition="0">
        <references count="2">
          <reference field="0" count="1" selected="0">
            <x v="9"/>
          </reference>
          <reference field="1" count="1">
            <x v="6"/>
          </reference>
        </references>
      </pivotArea>
    </format>
    <format dxfId="101">
      <pivotArea dataOnly="0" labelOnly="1" outline="0" fieldPosition="0">
        <references count="2">
          <reference field="0" count="1" selected="0">
            <x v="10"/>
          </reference>
          <reference field="1" count="1">
            <x v="14"/>
          </reference>
        </references>
      </pivotArea>
    </format>
    <format dxfId="102">
      <pivotArea dataOnly="0" labelOnly="1" outline="0" fieldPosition="0">
        <references count="2">
          <reference field="0" count="1" selected="0">
            <x v="11"/>
          </reference>
          <reference field="1" count="1">
            <x v="7"/>
          </reference>
        </references>
      </pivotArea>
    </format>
    <format dxfId="103">
      <pivotArea dataOnly="0" labelOnly="1" outline="0" fieldPosition="0">
        <references count="2">
          <reference field="0" count="1" selected="0">
            <x v="12"/>
          </reference>
          <reference field="1" count="1">
            <x v="8"/>
          </reference>
        </references>
      </pivotArea>
    </format>
    <format dxfId="104">
      <pivotArea dataOnly="0" labelOnly="1" outline="0" fieldPosition="0">
        <references count="2">
          <reference field="0" count="1" selected="0">
            <x v="13"/>
          </reference>
          <reference field="1" count="1">
            <x v="17"/>
          </reference>
        </references>
      </pivotArea>
    </format>
    <format dxfId="105">
      <pivotArea dataOnly="0" labelOnly="1" outline="0" fieldPosition="0">
        <references count="2">
          <reference field="0" count="1" selected="0">
            <x v="14"/>
          </reference>
          <reference field="1" count="1">
            <x v="18"/>
          </reference>
        </references>
      </pivotArea>
    </format>
    <format dxfId="106">
      <pivotArea dataOnly="0" labelOnly="1" outline="0" fieldPosition="0">
        <references count="2">
          <reference field="0" count="1" selected="0">
            <x v="15"/>
          </reference>
          <reference field="1" count="1">
            <x v="9"/>
          </reference>
        </references>
      </pivotArea>
    </format>
    <format dxfId="107">
      <pivotArea dataOnly="0" labelOnly="1" outline="0" fieldPosition="0">
        <references count="2">
          <reference field="0" count="1" selected="0">
            <x v="16"/>
          </reference>
          <reference field="1" count="2">
            <x v="10"/>
            <x v="13"/>
          </reference>
        </references>
      </pivotArea>
    </format>
    <format dxfId="108">
      <pivotArea dataOnly="0" labelOnly="1" outline="0" axis="axisValues" fieldPosition="0"/>
    </format>
    <format dxfId="109">
      <pivotArea field="0" type="button" dataOnly="0" labelOnly="1" outline="0" axis="axisRow" fieldPosition="0"/>
    </format>
    <format dxfId="110">
      <pivotArea field="1" type="button" dataOnly="0" labelOnly="1" outline="0" axis="axisRow" fieldPosition="1"/>
    </format>
    <format dxfId="111">
      <pivotArea dataOnly="0" labelOnly="1" outline="0" axis="axisValues" fieldPosition="0"/>
    </format>
    <format dxfId="112">
      <pivotArea field="0" type="button" dataOnly="0" labelOnly="1" outline="0" axis="axisRow" fieldPosition="0"/>
    </format>
    <format dxfId="113">
      <pivotArea field="1" type="button" dataOnly="0" labelOnly="1" outline="0" axis="axisRow" fieldPosition="1"/>
    </format>
    <format dxfId="11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en.wikipedia.org/wiki/B3_(stock_exchange)" TargetMode="External"/><Relationship Id="rId117" Type="http://schemas.openxmlformats.org/officeDocument/2006/relationships/hyperlink" Target="https://en.wikipedia.org/wiki/B3_(stock_exchange)" TargetMode="External"/><Relationship Id="rId21" Type="http://schemas.openxmlformats.org/officeDocument/2006/relationships/hyperlink" Target="https://en.wikipedia.org/wiki/London_Stock_Exchange" TargetMode="External"/><Relationship Id="rId42" Type="http://schemas.openxmlformats.org/officeDocument/2006/relationships/hyperlink" Target="https://en.wikipedia.org/wiki/Tehran_Stock_Exchange" TargetMode="External"/><Relationship Id="rId47" Type="http://schemas.openxmlformats.org/officeDocument/2006/relationships/hyperlink" Target="https://en.wikipedia.org/wiki/Hong_Kong_Stock_Exchange" TargetMode="External"/><Relationship Id="rId63" Type="http://schemas.openxmlformats.org/officeDocument/2006/relationships/hyperlink" Target="https://en.wikipedia.org/wiki/Deutsche_B%C3%B6rse" TargetMode="External"/><Relationship Id="rId68" Type="http://schemas.openxmlformats.org/officeDocument/2006/relationships/hyperlink" Target="https://en.wikipedia.org/wiki/Bombay_Stock_Exchange" TargetMode="External"/><Relationship Id="rId84" Type="http://schemas.openxmlformats.org/officeDocument/2006/relationships/hyperlink" Target="https://en.wikipedia.org/wiki/Deutsche_B%C3%B6rse" TargetMode="External"/><Relationship Id="rId89" Type="http://schemas.openxmlformats.org/officeDocument/2006/relationships/hyperlink" Target="https://en.wikipedia.org/wiki/New_York_Stock_Exchange" TargetMode="External"/><Relationship Id="rId112" Type="http://schemas.openxmlformats.org/officeDocument/2006/relationships/hyperlink" Target="https://en.wikipedia.org/wiki/Hong_Kong_Stock_Exchange" TargetMode="External"/><Relationship Id="rId133" Type="http://schemas.openxmlformats.org/officeDocument/2006/relationships/hyperlink" Target="https://en.wikipedia.org/wiki/Nasdaq_Nordic" TargetMode="External"/><Relationship Id="rId138" Type="http://schemas.openxmlformats.org/officeDocument/2006/relationships/hyperlink" Target="https://en.wikipedia.org/wiki/B3_(stock_exchange)" TargetMode="External"/><Relationship Id="rId154" Type="http://schemas.openxmlformats.org/officeDocument/2006/relationships/hyperlink" Target="https://en.wikipedia.org/wiki/New_York_Stock_Exchange" TargetMode="External"/><Relationship Id="rId159" Type="http://schemas.openxmlformats.org/officeDocument/2006/relationships/hyperlink" Target="https://en.wikipedia.org/wiki/SIX_Swiss_Exchange" TargetMode="External"/><Relationship Id="rId175" Type="http://schemas.openxmlformats.org/officeDocument/2006/relationships/hyperlink" Target="https://en.wikipedia.org/wiki/Bombay_Stock_Exchange" TargetMode="External"/><Relationship Id="rId170" Type="http://schemas.openxmlformats.org/officeDocument/2006/relationships/hyperlink" Target="https://en.wikipedia.org/wiki/Taiwan_Stock_Exchange" TargetMode="External"/><Relationship Id="rId16" Type="http://schemas.openxmlformats.org/officeDocument/2006/relationships/hyperlink" Target="https://en.wikipedia.org/wiki/Japan_Exchange_Group" TargetMode="External"/><Relationship Id="rId107" Type="http://schemas.openxmlformats.org/officeDocument/2006/relationships/hyperlink" Target="https://en.wikipedia.org/wiki/Korea_Exchange" TargetMode="External"/><Relationship Id="rId11" Type="http://schemas.openxmlformats.org/officeDocument/2006/relationships/hyperlink" Target="https://en.wikipedia.org/wiki/Deutsche_B%C3%B6rse" TargetMode="External"/><Relationship Id="rId32" Type="http://schemas.openxmlformats.org/officeDocument/2006/relationships/hyperlink" Target="https://en.wikipedia.org/wiki/Shenzhen_Stock_Exchange" TargetMode="External"/><Relationship Id="rId37" Type="http://schemas.openxmlformats.org/officeDocument/2006/relationships/hyperlink" Target="https://en.wikipedia.org/wiki/Taiwan_Stock_Exchange" TargetMode="External"/><Relationship Id="rId53" Type="http://schemas.openxmlformats.org/officeDocument/2006/relationships/hyperlink" Target="https://en.wikipedia.org/wiki/SIX_Swiss_Exchange" TargetMode="External"/><Relationship Id="rId58" Type="http://schemas.openxmlformats.org/officeDocument/2006/relationships/hyperlink" Target="https://en.wikipedia.org/wiki/Shenzhen_Stock_Exchange" TargetMode="External"/><Relationship Id="rId74" Type="http://schemas.openxmlformats.org/officeDocument/2006/relationships/hyperlink" Target="https://en.wikipedia.org/wiki/National_Stock_Exchange_of_India" TargetMode="External"/><Relationship Id="rId79" Type="http://schemas.openxmlformats.org/officeDocument/2006/relationships/hyperlink" Target="https://en.wikipedia.org/wiki/Japan_Exchange_Group" TargetMode="External"/><Relationship Id="rId102" Type="http://schemas.openxmlformats.org/officeDocument/2006/relationships/hyperlink" Target="https://en.wikipedia.org/wiki/B3_(stock_exchange)" TargetMode="External"/><Relationship Id="rId123" Type="http://schemas.openxmlformats.org/officeDocument/2006/relationships/hyperlink" Target="https://en.wikipedia.org/wiki/Deutsche_B%C3%B6rse" TargetMode="External"/><Relationship Id="rId128" Type="http://schemas.openxmlformats.org/officeDocument/2006/relationships/hyperlink" Target="https://en.wikipedia.org/wiki/Taiwan_Stock_Exchange" TargetMode="External"/><Relationship Id="rId144" Type="http://schemas.openxmlformats.org/officeDocument/2006/relationships/hyperlink" Target="https://en.wikipedia.org/wiki/Bombay_Stock_Exchange" TargetMode="External"/><Relationship Id="rId149" Type="http://schemas.openxmlformats.org/officeDocument/2006/relationships/hyperlink" Target="https://en.wikipedia.org/wiki/Toronto_Stock_Exchange" TargetMode="External"/><Relationship Id="rId5" Type="http://schemas.openxmlformats.org/officeDocument/2006/relationships/hyperlink" Target="https://en.wikipedia.org/wiki/Bombay_Stock_Exchange" TargetMode="External"/><Relationship Id="rId90" Type="http://schemas.openxmlformats.org/officeDocument/2006/relationships/hyperlink" Target="https://en.wikipedia.org/wiki/Euronext" TargetMode="External"/><Relationship Id="rId95" Type="http://schemas.openxmlformats.org/officeDocument/2006/relationships/hyperlink" Target="https://en.wikipedia.org/wiki/Taiwan_Stock_Exchange" TargetMode="External"/><Relationship Id="rId160" Type="http://schemas.openxmlformats.org/officeDocument/2006/relationships/hyperlink" Target="https://en.wikipedia.org/wiki/Japan_Exchange_Group" TargetMode="External"/><Relationship Id="rId165" Type="http://schemas.openxmlformats.org/officeDocument/2006/relationships/hyperlink" Target="https://en.wikipedia.org/wiki/Tehran_Stock_Exchange" TargetMode="External"/><Relationship Id="rId181" Type="http://schemas.openxmlformats.org/officeDocument/2006/relationships/hyperlink" Target="https://en.wikipedia.org/wiki/Hong_Kong_Stock_Exchange" TargetMode="External"/><Relationship Id="rId22" Type="http://schemas.openxmlformats.org/officeDocument/2006/relationships/hyperlink" Target="https://en.wikipedia.org/wiki/Bombay_Stock_Exchange" TargetMode="External"/><Relationship Id="rId27" Type="http://schemas.openxmlformats.org/officeDocument/2006/relationships/hyperlink" Target="https://en.wikipedia.org/wiki/Korea_Exchange" TargetMode="External"/><Relationship Id="rId43" Type="http://schemas.openxmlformats.org/officeDocument/2006/relationships/hyperlink" Target="https://en.wikipedia.org/wiki/Japan_Exchange_Group" TargetMode="External"/><Relationship Id="rId48" Type="http://schemas.openxmlformats.org/officeDocument/2006/relationships/hyperlink" Target="https://en.wikipedia.org/wiki/Toronto_Stock_Exchange" TargetMode="External"/><Relationship Id="rId64" Type="http://schemas.openxmlformats.org/officeDocument/2006/relationships/hyperlink" Target="https://en.wikipedia.org/wiki/JSE_Limited" TargetMode="External"/><Relationship Id="rId69" Type="http://schemas.openxmlformats.org/officeDocument/2006/relationships/hyperlink" Target="https://en.wikipedia.org/wiki/Nasdaq" TargetMode="External"/><Relationship Id="rId113" Type="http://schemas.openxmlformats.org/officeDocument/2006/relationships/hyperlink" Target="https://en.wikipedia.org/wiki/SIX_Swiss_Exchange" TargetMode="External"/><Relationship Id="rId118" Type="http://schemas.openxmlformats.org/officeDocument/2006/relationships/hyperlink" Target="https://en.wikipedia.org/wiki/Hong_Kong_Stock_Exchange" TargetMode="External"/><Relationship Id="rId134" Type="http://schemas.openxmlformats.org/officeDocument/2006/relationships/hyperlink" Target="https://en.wikipedia.org/wiki/Shenzhen_Stock_Exchange" TargetMode="External"/><Relationship Id="rId139" Type="http://schemas.openxmlformats.org/officeDocument/2006/relationships/hyperlink" Target="https://en.wikipedia.org/wiki/Tehran_Stock_Exchange" TargetMode="External"/><Relationship Id="rId80" Type="http://schemas.openxmlformats.org/officeDocument/2006/relationships/hyperlink" Target="https://en.wikipedia.org/wiki/Shanghai_Stock_Exchange" TargetMode="External"/><Relationship Id="rId85" Type="http://schemas.openxmlformats.org/officeDocument/2006/relationships/hyperlink" Target="https://en.wikipedia.org/wiki/National_Stock_Exchange_of_India" TargetMode="External"/><Relationship Id="rId150" Type="http://schemas.openxmlformats.org/officeDocument/2006/relationships/hyperlink" Target="https://en.wikipedia.org/wiki/B3_(stock_exchange)" TargetMode="External"/><Relationship Id="rId155" Type="http://schemas.openxmlformats.org/officeDocument/2006/relationships/hyperlink" Target="https://en.wikipedia.org/wiki/London_Stock_Exchange" TargetMode="External"/><Relationship Id="rId171" Type="http://schemas.openxmlformats.org/officeDocument/2006/relationships/hyperlink" Target="https://en.wikipedia.org/wiki/National_Stock_Exchange_of_India" TargetMode="External"/><Relationship Id="rId176" Type="http://schemas.openxmlformats.org/officeDocument/2006/relationships/hyperlink" Target="https://en.wikipedia.org/wiki/Hong_Kong_Stock_Exchange" TargetMode="External"/><Relationship Id="rId12" Type="http://schemas.openxmlformats.org/officeDocument/2006/relationships/hyperlink" Target="https://en.wikipedia.org/wiki/Bombay_Stock_Exchange" TargetMode="External"/><Relationship Id="rId17" Type="http://schemas.openxmlformats.org/officeDocument/2006/relationships/hyperlink" Target="https://en.wikipedia.org/wiki/Hong_Kong_Stock_Exchange" TargetMode="External"/><Relationship Id="rId33" Type="http://schemas.openxmlformats.org/officeDocument/2006/relationships/hyperlink" Target="https://en.wikipedia.org/wiki/Taiwan_Stock_Exchange" TargetMode="External"/><Relationship Id="rId38" Type="http://schemas.openxmlformats.org/officeDocument/2006/relationships/hyperlink" Target="https://en.wikipedia.org/wiki/Deutsche_B%C3%B6rse" TargetMode="External"/><Relationship Id="rId59" Type="http://schemas.openxmlformats.org/officeDocument/2006/relationships/hyperlink" Target="https://en.wikipedia.org/wiki/Deutsche_B%C3%B6rse" TargetMode="External"/><Relationship Id="rId103" Type="http://schemas.openxmlformats.org/officeDocument/2006/relationships/hyperlink" Target="https://en.wikipedia.org/wiki/SIX_Swiss_Exchange" TargetMode="External"/><Relationship Id="rId108" Type="http://schemas.openxmlformats.org/officeDocument/2006/relationships/hyperlink" Target="https://en.wikipedia.org/wiki/Nasdaq" TargetMode="External"/><Relationship Id="rId124" Type="http://schemas.openxmlformats.org/officeDocument/2006/relationships/hyperlink" Target="https://en.wikipedia.org/wiki/Nasdaq" TargetMode="External"/><Relationship Id="rId129" Type="http://schemas.openxmlformats.org/officeDocument/2006/relationships/hyperlink" Target="https://en.wikipedia.org/wiki/Toronto_Stock_Exchange" TargetMode="External"/><Relationship Id="rId54" Type="http://schemas.openxmlformats.org/officeDocument/2006/relationships/hyperlink" Target="https://en.wikipedia.org/wiki/London_Stock_Exchange" TargetMode="External"/><Relationship Id="rId70" Type="http://schemas.openxmlformats.org/officeDocument/2006/relationships/hyperlink" Target="https://en.wikipedia.org/wiki/Hong_Kong_Stock_Exchange" TargetMode="External"/><Relationship Id="rId75" Type="http://schemas.openxmlformats.org/officeDocument/2006/relationships/hyperlink" Target="https://en.wikipedia.org/wiki/Deutsche_B%C3%B6rse" TargetMode="External"/><Relationship Id="rId91" Type="http://schemas.openxmlformats.org/officeDocument/2006/relationships/hyperlink" Target="https://en.wikipedia.org/wiki/Nasdaq_Nordic" TargetMode="External"/><Relationship Id="rId96" Type="http://schemas.openxmlformats.org/officeDocument/2006/relationships/hyperlink" Target="https://en.wikipedia.org/wiki/Tadawul" TargetMode="External"/><Relationship Id="rId140" Type="http://schemas.openxmlformats.org/officeDocument/2006/relationships/hyperlink" Target="https://en.wikipedia.org/wiki/Deutsche_B%C3%B6rse" TargetMode="External"/><Relationship Id="rId145" Type="http://schemas.openxmlformats.org/officeDocument/2006/relationships/hyperlink" Target="https://en.wikipedia.org/wiki/Bombay_Stock_Exchange" TargetMode="External"/><Relationship Id="rId161" Type="http://schemas.openxmlformats.org/officeDocument/2006/relationships/hyperlink" Target="https://en.wikipedia.org/wiki/Nasdaq_Nordic" TargetMode="External"/><Relationship Id="rId166" Type="http://schemas.openxmlformats.org/officeDocument/2006/relationships/hyperlink" Target="https://en.wikipedia.org/wiki/New_York_Stock_Exchange" TargetMode="External"/><Relationship Id="rId182" Type="http://schemas.openxmlformats.org/officeDocument/2006/relationships/hyperlink" Target="https://en.wikipedia.org/wiki/B3_(stock_exchange)" TargetMode="External"/><Relationship Id="rId1" Type="http://schemas.openxmlformats.org/officeDocument/2006/relationships/hyperlink" Target="https://en.wikipedia.org/wiki/Bombay_Stock_Exchange" TargetMode="External"/><Relationship Id="rId6" Type="http://schemas.openxmlformats.org/officeDocument/2006/relationships/hyperlink" Target="https://en.wikipedia.org/wiki/Euronext" TargetMode="External"/><Relationship Id="rId23" Type="http://schemas.openxmlformats.org/officeDocument/2006/relationships/hyperlink" Target="https://en.wikipedia.org/wiki/B3_(stock_exchange)" TargetMode="External"/><Relationship Id="rId28" Type="http://schemas.openxmlformats.org/officeDocument/2006/relationships/hyperlink" Target="https://en.wikipedia.org/wiki/Bombay_Stock_Exchange" TargetMode="External"/><Relationship Id="rId49" Type="http://schemas.openxmlformats.org/officeDocument/2006/relationships/hyperlink" Target="https://en.wikipedia.org/wiki/Korea_Exchange" TargetMode="External"/><Relationship Id="rId114" Type="http://schemas.openxmlformats.org/officeDocument/2006/relationships/hyperlink" Target="https://en.wikipedia.org/wiki/Deutsche_B%C3%B6rse" TargetMode="External"/><Relationship Id="rId119" Type="http://schemas.openxmlformats.org/officeDocument/2006/relationships/hyperlink" Target="https://en.wikipedia.org/wiki/National_Stock_Exchange_of_India" TargetMode="External"/><Relationship Id="rId44" Type="http://schemas.openxmlformats.org/officeDocument/2006/relationships/hyperlink" Target="https://en.wikipedia.org/wiki/Bombay_Stock_Exchange" TargetMode="External"/><Relationship Id="rId60" Type="http://schemas.openxmlformats.org/officeDocument/2006/relationships/hyperlink" Target="https://en.wikipedia.org/wiki/Tadawul" TargetMode="External"/><Relationship Id="rId65" Type="http://schemas.openxmlformats.org/officeDocument/2006/relationships/hyperlink" Target="https://en.wikipedia.org/wiki/Shenzhen_Stock_Exchange" TargetMode="External"/><Relationship Id="rId81" Type="http://schemas.openxmlformats.org/officeDocument/2006/relationships/hyperlink" Target="https://en.wikipedia.org/wiki/Nasdaq_Nordic" TargetMode="External"/><Relationship Id="rId86" Type="http://schemas.openxmlformats.org/officeDocument/2006/relationships/hyperlink" Target="https://en.wikipedia.org/wiki/Euronext" TargetMode="External"/><Relationship Id="rId130" Type="http://schemas.openxmlformats.org/officeDocument/2006/relationships/hyperlink" Target="https://en.wikipedia.org/wiki/Nasdaq_Nordic" TargetMode="External"/><Relationship Id="rId135" Type="http://schemas.openxmlformats.org/officeDocument/2006/relationships/hyperlink" Target="https://en.wikipedia.org/wiki/JSE_Limited" TargetMode="External"/><Relationship Id="rId151" Type="http://schemas.openxmlformats.org/officeDocument/2006/relationships/hyperlink" Target="https://en.wikipedia.org/wiki/Bombay_Stock_Exchange" TargetMode="External"/><Relationship Id="rId156" Type="http://schemas.openxmlformats.org/officeDocument/2006/relationships/hyperlink" Target="https://en.wikipedia.org/wiki/Korea_Exchange" TargetMode="External"/><Relationship Id="rId177" Type="http://schemas.openxmlformats.org/officeDocument/2006/relationships/hyperlink" Target="https://en.wikipedia.org/wiki/Shanghai_Stock_Exchange" TargetMode="External"/><Relationship Id="rId4" Type="http://schemas.openxmlformats.org/officeDocument/2006/relationships/hyperlink" Target="https://en.wikipedia.org/wiki/SIX_Swiss_Exchange" TargetMode="External"/><Relationship Id="rId9" Type="http://schemas.openxmlformats.org/officeDocument/2006/relationships/hyperlink" Target="https://en.wikipedia.org/wiki/Toronto_Stock_Exchange" TargetMode="External"/><Relationship Id="rId172" Type="http://schemas.openxmlformats.org/officeDocument/2006/relationships/hyperlink" Target="https://en.wikipedia.org/wiki/JSE_Limited" TargetMode="External"/><Relationship Id="rId180" Type="http://schemas.openxmlformats.org/officeDocument/2006/relationships/hyperlink" Target="https://en.wikipedia.org/wiki/B3_(stock_exchange)" TargetMode="External"/><Relationship Id="rId13" Type="http://schemas.openxmlformats.org/officeDocument/2006/relationships/hyperlink" Target="https://en.wikipedia.org/wiki/Bombay_Stock_Exchange" TargetMode="External"/><Relationship Id="rId18" Type="http://schemas.openxmlformats.org/officeDocument/2006/relationships/hyperlink" Target="https://en.wikipedia.org/wiki/Shanghai_Stock_Exchange" TargetMode="External"/><Relationship Id="rId39" Type="http://schemas.openxmlformats.org/officeDocument/2006/relationships/hyperlink" Target="https://en.wikipedia.org/wiki/New_York_Stock_Exchange" TargetMode="External"/><Relationship Id="rId109" Type="http://schemas.openxmlformats.org/officeDocument/2006/relationships/hyperlink" Target="https://en.wikipedia.org/wiki/London_Stock_Exchange" TargetMode="External"/><Relationship Id="rId34" Type="http://schemas.openxmlformats.org/officeDocument/2006/relationships/hyperlink" Target="https://en.wikipedia.org/wiki/Deutsche_B%C3%B6rse" TargetMode="External"/><Relationship Id="rId50" Type="http://schemas.openxmlformats.org/officeDocument/2006/relationships/hyperlink" Target="https://en.wikipedia.org/wiki/London_Stock_Exchange" TargetMode="External"/><Relationship Id="rId55" Type="http://schemas.openxmlformats.org/officeDocument/2006/relationships/hyperlink" Target="https://en.wikipedia.org/wiki/Korea_Exchange" TargetMode="External"/><Relationship Id="rId76" Type="http://schemas.openxmlformats.org/officeDocument/2006/relationships/hyperlink" Target="https://en.wikipedia.org/wiki/B3_(stock_exchange)" TargetMode="External"/><Relationship Id="rId97" Type="http://schemas.openxmlformats.org/officeDocument/2006/relationships/hyperlink" Target="https://en.wikipedia.org/wiki/Tadawul" TargetMode="External"/><Relationship Id="rId104" Type="http://schemas.openxmlformats.org/officeDocument/2006/relationships/hyperlink" Target="https://en.wikipedia.org/wiki/B3_(stock_exchange)" TargetMode="External"/><Relationship Id="rId120" Type="http://schemas.openxmlformats.org/officeDocument/2006/relationships/hyperlink" Target="https://en.wikipedia.org/wiki/Taiwan_Stock_Exchange" TargetMode="External"/><Relationship Id="rId125" Type="http://schemas.openxmlformats.org/officeDocument/2006/relationships/hyperlink" Target="https://en.wikipedia.org/wiki/Nasdaq_Nordic" TargetMode="External"/><Relationship Id="rId141" Type="http://schemas.openxmlformats.org/officeDocument/2006/relationships/hyperlink" Target="https://en.wikipedia.org/wiki/Shenzhen_Stock_Exchange" TargetMode="External"/><Relationship Id="rId146" Type="http://schemas.openxmlformats.org/officeDocument/2006/relationships/hyperlink" Target="https://en.wikipedia.org/wiki/Tadawul" TargetMode="External"/><Relationship Id="rId167" Type="http://schemas.openxmlformats.org/officeDocument/2006/relationships/hyperlink" Target="https://en.wikipedia.org/wiki/Tadawul" TargetMode="External"/><Relationship Id="rId7" Type="http://schemas.openxmlformats.org/officeDocument/2006/relationships/hyperlink" Target="https://en.wikipedia.org/wiki/Korea_Exchange" TargetMode="External"/><Relationship Id="rId71" Type="http://schemas.openxmlformats.org/officeDocument/2006/relationships/hyperlink" Target="https://en.wikipedia.org/wiki/Euronext" TargetMode="External"/><Relationship Id="rId92" Type="http://schemas.openxmlformats.org/officeDocument/2006/relationships/hyperlink" Target="https://en.wikipedia.org/wiki/Nasdaq_Nordic" TargetMode="External"/><Relationship Id="rId162" Type="http://schemas.openxmlformats.org/officeDocument/2006/relationships/hyperlink" Target="https://en.wikipedia.org/wiki/Shanghai_Stock_Exchange" TargetMode="External"/><Relationship Id="rId183" Type="http://schemas.openxmlformats.org/officeDocument/2006/relationships/hyperlink" Target="https://en.wikipedia.org/wiki/Taiwan_Stock_Exchange" TargetMode="External"/><Relationship Id="rId2" Type="http://schemas.openxmlformats.org/officeDocument/2006/relationships/hyperlink" Target="https://en.wikipedia.org/wiki/Tehran_Stock_Exchange" TargetMode="External"/><Relationship Id="rId29" Type="http://schemas.openxmlformats.org/officeDocument/2006/relationships/hyperlink" Target="https://en.wikipedia.org/wiki/Bombay_Stock_Exchange" TargetMode="External"/><Relationship Id="rId24" Type="http://schemas.openxmlformats.org/officeDocument/2006/relationships/hyperlink" Target="https://en.wikipedia.org/wiki/Nasdaq" TargetMode="External"/><Relationship Id="rId40" Type="http://schemas.openxmlformats.org/officeDocument/2006/relationships/hyperlink" Target="https://en.wikipedia.org/wiki/Tehran_Stock_Exchange" TargetMode="External"/><Relationship Id="rId45" Type="http://schemas.openxmlformats.org/officeDocument/2006/relationships/hyperlink" Target="https://en.wikipedia.org/wiki/Shanghai_Stock_Exchange" TargetMode="External"/><Relationship Id="rId66" Type="http://schemas.openxmlformats.org/officeDocument/2006/relationships/hyperlink" Target="https://en.wikipedia.org/wiki/B3_(stock_exchange)" TargetMode="External"/><Relationship Id="rId87" Type="http://schemas.openxmlformats.org/officeDocument/2006/relationships/hyperlink" Target="https://en.wikipedia.org/wiki/Bombay_Stock_Exchange" TargetMode="External"/><Relationship Id="rId110" Type="http://schemas.openxmlformats.org/officeDocument/2006/relationships/hyperlink" Target="https://en.wikipedia.org/wiki/Bombay_Stock_Exchange" TargetMode="External"/><Relationship Id="rId115" Type="http://schemas.openxmlformats.org/officeDocument/2006/relationships/hyperlink" Target="https://en.wikipedia.org/wiki/JSE_Limited" TargetMode="External"/><Relationship Id="rId131" Type="http://schemas.openxmlformats.org/officeDocument/2006/relationships/hyperlink" Target="https://en.wikipedia.org/wiki/Toronto_Stock_Exchange" TargetMode="External"/><Relationship Id="rId136" Type="http://schemas.openxmlformats.org/officeDocument/2006/relationships/hyperlink" Target="https://en.wikipedia.org/wiki/London_Stock_Exchange" TargetMode="External"/><Relationship Id="rId157" Type="http://schemas.openxmlformats.org/officeDocument/2006/relationships/hyperlink" Target="https://en.wikipedia.org/wiki/Korea_Exchange" TargetMode="External"/><Relationship Id="rId178" Type="http://schemas.openxmlformats.org/officeDocument/2006/relationships/hyperlink" Target="https://en.wikipedia.org/wiki/Shenzhen_Stock_Exchange" TargetMode="External"/><Relationship Id="rId61" Type="http://schemas.openxmlformats.org/officeDocument/2006/relationships/hyperlink" Target="https://en.wikipedia.org/wiki/Tehran_Stock_Exchange" TargetMode="External"/><Relationship Id="rId82" Type="http://schemas.openxmlformats.org/officeDocument/2006/relationships/hyperlink" Target="https://en.wikipedia.org/wiki/Nasdaq" TargetMode="External"/><Relationship Id="rId152" Type="http://schemas.openxmlformats.org/officeDocument/2006/relationships/hyperlink" Target="https://en.wikipedia.org/wiki/Shanghai_Stock_Exchange" TargetMode="External"/><Relationship Id="rId173" Type="http://schemas.openxmlformats.org/officeDocument/2006/relationships/hyperlink" Target="https://en.wikipedia.org/wiki/Japan_Exchange_Group" TargetMode="External"/><Relationship Id="rId19" Type="http://schemas.openxmlformats.org/officeDocument/2006/relationships/hyperlink" Target="https://en.wikipedia.org/wiki/National_Stock_Exchange_of_India" TargetMode="External"/><Relationship Id="rId14" Type="http://schemas.openxmlformats.org/officeDocument/2006/relationships/hyperlink" Target="https://en.wikipedia.org/wiki/Tadawul" TargetMode="External"/><Relationship Id="rId30" Type="http://schemas.openxmlformats.org/officeDocument/2006/relationships/hyperlink" Target="https://en.wikipedia.org/wiki/Deutsche_B%C3%B6rse" TargetMode="External"/><Relationship Id="rId35" Type="http://schemas.openxmlformats.org/officeDocument/2006/relationships/hyperlink" Target="https://en.wikipedia.org/wiki/SIX_Swiss_Exchange" TargetMode="External"/><Relationship Id="rId56" Type="http://schemas.openxmlformats.org/officeDocument/2006/relationships/hyperlink" Target="https://en.wikipedia.org/wiki/JSE_Limited" TargetMode="External"/><Relationship Id="rId77" Type="http://schemas.openxmlformats.org/officeDocument/2006/relationships/hyperlink" Target="https://en.wikipedia.org/wiki/Taiwan_Stock_Exchange" TargetMode="External"/><Relationship Id="rId100" Type="http://schemas.openxmlformats.org/officeDocument/2006/relationships/hyperlink" Target="https://en.wikipedia.org/wiki/Hong_Kong_Stock_Exchange" TargetMode="External"/><Relationship Id="rId105" Type="http://schemas.openxmlformats.org/officeDocument/2006/relationships/hyperlink" Target="https://en.wikipedia.org/wiki/Tehran_Stock_Exchange" TargetMode="External"/><Relationship Id="rId126" Type="http://schemas.openxmlformats.org/officeDocument/2006/relationships/hyperlink" Target="https://en.wikipedia.org/wiki/Deutsche_B%C3%B6rse" TargetMode="External"/><Relationship Id="rId147" Type="http://schemas.openxmlformats.org/officeDocument/2006/relationships/hyperlink" Target="https://en.wikipedia.org/wiki/Nasdaq" TargetMode="External"/><Relationship Id="rId168" Type="http://schemas.openxmlformats.org/officeDocument/2006/relationships/hyperlink" Target="https://en.wikipedia.org/wiki/Tadawul" TargetMode="External"/><Relationship Id="rId8" Type="http://schemas.openxmlformats.org/officeDocument/2006/relationships/hyperlink" Target="https://en.wikipedia.org/wiki/JSE_Limited" TargetMode="External"/><Relationship Id="rId51" Type="http://schemas.openxmlformats.org/officeDocument/2006/relationships/hyperlink" Target="https://en.wikipedia.org/wiki/Nasdaq" TargetMode="External"/><Relationship Id="rId72" Type="http://schemas.openxmlformats.org/officeDocument/2006/relationships/hyperlink" Target="https://en.wikipedia.org/wiki/SIX_Swiss_Exchange" TargetMode="External"/><Relationship Id="rId93" Type="http://schemas.openxmlformats.org/officeDocument/2006/relationships/hyperlink" Target="https://en.wikipedia.org/wiki/National_Stock_Exchange_of_India" TargetMode="External"/><Relationship Id="rId98" Type="http://schemas.openxmlformats.org/officeDocument/2006/relationships/hyperlink" Target="https://en.wikipedia.org/wiki/Nasdaq" TargetMode="External"/><Relationship Id="rId121" Type="http://schemas.openxmlformats.org/officeDocument/2006/relationships/hyperlink" Target="https://en.wikipedia.org/wiki/New_York_Stock_Exchange" TargetMode="External"/><Relationship Id="rId142" Type="http://schemas.openxmlformats.org/officeDocument/2006/relationships/hyperlink" Target="https://en.wikipedia.org/wiki/Shenzhen_Stock_Exchange" TargetMode="External"/><Relationship Id="rId163" Type="http://schemas.openxmlformats.org/officeDocument/2006/relationships/hyperlink" Target="https://en.wikipedia.org/wiki/Deutsche_B%C3%B6rse" TargetMode="External"/><Relationship Id="rId184" Type="http://schemas.openxmlformats.org/officeDocument/2006/relationships/hyperlink" Target="https://en.wikipedia.org/wiki/B3_(stock_exchange)" TargetMode="External"/><Relationship Id="rId3" Type="http://schemas.openxmlformats.org/officeDocument/2006/relationships/hyperlink" Target="https://en.wikipedia.org/wiki/National_Stock_Exchange_of_India" TargetMode="External"/><Relationship Id="rId25" Type="http://schemas.openxmlformats.org/officeDocument/2006/relationships/hyperlink" Target="https://en.wikipedia.org/wiki/Toronto_Stock_Exchange" TargetMode="External"/><Relationship Id="rId46" Type="http://schemas.openxmlformats.org/officeDocument/2006/relationships/hyperlink" Target="https://en.wikipedia.org/wiki/Deutsche_B%C3%B6rse" TargetMode="External"/><Relationship Id="rId67" Type="http://schemas.openxmlformats.org/officeDocument/2006/relationships/hyperlink" Target="https://en.wikipedia.org/wiki/New_York_Stock_Exchange" TargetMode="External"/><Relationship Id="rId116" Type="http://schemas.openxmlformats.org/officeDocument/2006/relationships/hyperlink" Target="https://en.wikipedia.org/wiki/Tehran_Stock_Exchange" TargetMode="External"/><Relationship Id="rId137" Type="http://schemas.openxmlformats.org/officeDocument/2006/relationships/hyperlink" Target="https://en.wikipedia.org/wiki/Korea_Exchange" TargetMode="External"/><Relationship Id="rId158" Type="http://schemas.openxmlformats.org/officeDocument/2006/relationships/hyperlink" Target="https://en.wikipedia.org/wiki/Shanghai_Stock_Exchange" TargetMode="External"/><Relationship Id="rId20" Type="http://schemas.openxmlformats.org/officeDocument/2006/relationships/hyperlink" Target="https://en.wikipedia.org/wiki/Japan_Exchange_Group" TargetMode="External"/><Relationship Id="rId41" Type="http://schemas.openxmlformats.org/officeDocument/2006/relationships/hyperlink" Target="https://en.wikipedia.org/wiki/New_York_Stock_Exchange" TargetMode="External"/><Relationship Id="rId62" Type="http://schemas.openxmlformats.org/officeDocument/2006/relationships/hyperlink" Target="https://en.wikipedia.org/wiki/B3_(stock_exchange)" TargetMode="External"/><Relationship Id="rId83" Type="http://schemas.openxmlformats.org/officeDocument/2006/relationships/hyperlink" Target="https://en.wikipedia.org/wiki/Nasdaq_Nordic" TargetMode="External"/><Relationship Id="rId88" Type="http://schemas.openxmlformats.org/officeDocument/2006/relationships/hyperlink" Target="https://en.wikipedia.org/wiki/B3_(stock_exchange)" TargetMode="External"/><Relationship Id="rId111" Type="http://schemas.openxmlformats.org/officeDocument/2006/relationships/hyperlink" Target="https://en.wikipedia.org/wiki/National_Stock_Exchange_of_India" TargetMode="External"/><Relationship Id="rId132" Type="http://schemas.openxmlformats.org/officeDocument/2006/relationships/hyperlink" Target="https://en.wikipedia.org/wiki/Shenzhen_Stock_Exchange" TargetMode="External"/><Relationship Id="rId153" Type="http://schemas.openxmlformats.org/officeDocument/2006/relationships/hyperlink" Target="https://en.wikipedia.org/wiki/Euronext" TargetMode="External"/><Relationship Id="rId174" Type="http://schemas.openxmlformats.org/officeDocument/2006/relationships/hyperlink" Target="https://en.wikipedia.org/wiki/Deutsche_B%C3%B6rse" TargetMode="External"/><Relationship Id="rId179" Type="http://schemas.openxmlformats.org/officeDocument/2006/relationships/hyperlink" Target="https://en.wikipedia.org/wiki/JSE_Limited" TargetMode="External"/><Relationship Id="rId15" Type="http://schemas.openxmlformats.org/officeDocument/2006/relationships/hyperlink" Target="https://en.wikipedia.org/wiki/JSE_Limited" TargetMode="External"/><Relationship Id="rId36" Type="http://schemas.openxmlformats.org/officeDocument/2006/relationships/hyperlink" Target="https://en.wikipedia.org/wiki/Euronext" TargetMode="External"/><Relationship Id="rId57" Type="http://schemas.openxmlformats.org/officeDocument/2006/relationships/hyperlink" Target="https://en.wikipedia.org/wiki/Japan_Exchange_Group" TargetMode="External"/><Relationship Id="rId106" Type="http://schemas.openxmlformats.org/officeDocument/2006/relationships/hyperlink" Target="https://en.wikipedia.org/wiki/Japan_Exchange_Group" TargetMode="External"/><Relationship Id="rId127" Type="http://schemas.openxmlformats.org/officeDocument/2006/relationships/hyperlink" Target="https://en.wikipedia.org/wiki/London_Stock_Exchange" TargetMode="External"/><Relationship Id="rId10" Type="http://schemas.openxmlformats.org/officeDocument/2006/relationships/hyperlink" Target="https://en.wikipedia.org/wiki/Euronext" TargetMode="External"/><Relationship Id="rId31" Type="http://schemas.openxmlformats.org/officeDocument/2006/relationships/hyperlink" Target="https://en.wikipedia.org/wiki/London_Stock_Exchange" TargetMode="External"/><Relationship Id="rId52" Type="http://schemas.openxmlformats.org/officeDocument/2006/relationships/hyperlink" Target="https://en.wikipedia.org/wiki/SIX_Swiss_Exchange" TargetMode="External"/><Relationship Id="rId73" Type="http://schemas.openxmlformats.org/officeDocument/2006/relationships/hyperlink" Target="https://en.wikipedia.org/wiki/B3_(stock_exchange)" TargetMode="External"/><Relationship Id="rId78" Type="http://schemas.openxmlformats.org/officeDocument/2006/relationships/hyperlink" Target="https://en.wikipedia.org/wiki/Bombay_Stock_Exchange" TargetMode="External"/><Relationship Id="rId94" Type="http://schemas.openxmlformats.org/officeDocument/2006/relationships/hyperlink" Target="https://en.wikipedia.org/wiki/Toronto_Stock_Exchange" TargetMode="External"/><Relationship Id="rId99" Type="http://schemas.openxmlformats.org/officeDocument/2006/relationships/hyperlink" Target="https://en.wikipedia.org/wiki/B3_(stock_exchange)" TargetMode="External"/><Relationship Id="rId101" Type="http://schemas.openxmlformats.org/officeDocument/2006/relationships/hyperlink" Target="https://en.wikipedia.org/wiki/Euronext" TargetMode="External"/><Relationship Id="rId122" Type="http://schemas.openxmlformats.org/officeDocument/2006/relationships/hyperlink" Target="https://en.wikipedia.org/wiki/Toronto_Stock_Exchange" TargetMode="External"/><Relationship Id="rId143" Type="http://schemas.openxmlformats.org/officeDocument/2006/relationships/hyperlink" Target="https://en.wikipedia.org/wiki/Deutsche_B%C3%B6rse" TargetMode="External"/><Relationship Id="rId148" Type="http://schemas.openxmlformats.org/officeDocument/2006/relationships/hyperlink" Target="https://en.wikipedia.org/wiki/Shanghai_Stock_Exchange" TargetMode="External"/><Relationship Id="rId164" Type="http://schemas.openxmlformats.org/officeDocument/2006/relationships/hyperlink" Target="https://en.wikipedia.org/wiki/New_York_Stock_Exchange" TargetMode="External"/><Relationship Id="rId169" Type="http://schemas.openxmlformats.org/officeDocument/2006/relationships/hyperlink" Target="https://en.wikipedia.org/wiki/Tadawul" TargetMode="External"/><Relationship Id="rId185"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I204"/>
  <sheetViews>
    <sheetView showGridLines="0" workbookViewId="0">
      <pane ySplit="1" topLeftCell="A2" activePane="bottomLeft" state="frozen"/>
      <selection pane="bottomLeft" activeCell="J23" sqref="J23"/>
    </sheetView>
  </sheetViews>
  <sheetFormatPr defaultColWidth="12.5703125" defaultRowHeight="15.75" customHeight="1"/>
  <cols>
    <col min="1" max="1" width="10.140625" bestFit="1" customWidth="1"/>
    <col min="2" max="2" width="34" customWidth="1"/>
    <col min="3" max="3" width="13.5703125" bestFit="1" customWidth="1"/>
    <col min="4" max="4" width="13.7109375" style="10" bestFit="1" customWidth="1"/>
    <col min="5" max="5" width="11" style="10" bestFit="1" customWidth="1"/>
    <col min="6" max="6" width="13.7109375" style="10" customWidth="1"/>
    <col min="7" max="7" width="11.5703125" style="10" bestFit="1" customWidth="1"/>
    <col min="8" max="8" width="12.5703125" style="10"/>
  </cols>
  <sheetData>
    <row r="1" spans="1:9" ht="20.25">
      <c r="A1" s="11" t="s">
        <v>0</v>
      </c>
      <c r="B1" s="11" t="s">
        <v>1</v>
      </c>
      <c r="C1" s="11" t="s">
        <v>2</v>
      </c>
      <c r="D1" s="11" t="s">
        <v>3</v>
      </c>
      <c r="E1" s="11" t="s">
        <v>4</v>
      </c>
      <c r="F1" s="11" t="s">
        <v>5</v>
      </c>
      <c r="G1" s="11" t="s">
        <v>6</v>
      </c>
      <c r="H1" s="11" t="s">
        <v>7</v>
      </c>
      <c r="I1" s="1"/>
    </row>
    <row r="2" spans="1:9" ht="14.25">
      <c r="A2" s="15" t="s">
        <v>8</v>
      </c>
      <c r="B2" s="16" t="s">
        <v>9</v>
      </c>
      <c r="C2" s="12" t="s">
        <v>10</v>
      </c>
      <c r="D2" s="17">
        <v>44841</v>
      </c>
      <c r="E2" s="13">
        <v>7</v>
      </c>
      <c r="F2" s="13">
        <v>0.28318547112501802</v>
      </c>
      <c r="G2" s="17">
        <v>45092</v>
      </c>
      <c r="H2" s="13">
        <v>0.557129814707503</v>
      </c>
      <c r="I2" s="4"/>
    </row>
    <row r="3" spans="1:9" ht="14.25">
      <c r="A3" s="15" t="s">
        <v>11</v>
      </c>
      <c r="B3" s="16" t="s">
        <v>12</v>
      </c>
      <c r="C3" s="12" t="s">
        <v>13</v>
      </c>
      <c r="D3" s="17">
        <v>44200</v>
      </c>
      <c r="E3" s="13">
        <v>2</v>
      </c>
      <c r="F3" s="13">
        <v>0.64142747007026002</v>
      </c>
      <c r="G3" s="17">
        <v>45039</v>
      </c>
      <c r="H3" s="13">
        <v>0.88983597888511301</v>
      </c>
      <c r="I3" s="4"/>
    </row>
    <row r="4" spans="1:9" ht="14.25">
      <c r="A4" s="15" t="s">
        <v>14</v>
      </c>
      <c r="B4" s="16" t="s">
        <v>15</v>
      </c>
      <c r="C4" s="12" t="s">
        <v>10</v>
      </c>
      <c r="D4" s="17">
        <v>44519</v>
      </c>
      <c r="E4" s="13">
        <v>6</v>
      </c>
      <c r="F4" s="13">
        <v>0.98092817996517101</v>
      </c>
      <c r="G4" s="17">
        <v>44968</v>
      </c>
      <c r="H4" s="13">
        <v>0.72256312699759195</v>
      </c>
      <c r="I4" s="4"/>
    </row>
    <row r="5" spans="1:9" ht="14.25">
      <c r="A5" s="15" t="s">
        <v>16</v>
      </c>
      <c r="B5" s="16" t="s">
        <v>17</v>
      </c>
      <c r="C5" s="12" t="s">
        <v>18</v>
      </c>
      <c r="D5" s="17">
        <v>44664</v>
      </c>
      <c r="E5" s="13">
        <v>1</v>
      </c>
      <c r="F5" s="13">
        <v>0.46027529609517198</v>
      </c>
      <c r="G5" s="17">
        <v>44971</v>
      </c>
      <c r="H5" s="13">
        <v>0.82793169583258497</v>
      </c>
      <c r="I5" s="4"/>
    </row>
    <row r="6" spans="1:9" ht="14.25">
      <c r="A6" s="15" t="s">
        <v>19</v>
      </c>
      <c r="B6" s="16" t="s">
        <v>9</v>
      </c>
      <c r="C6" s="12" t="s">
        <v>10</v>
      </c>
      <c r="D6" s="17">
        <v>44351</v>
      </c>
      <c r="E6" s="13">
        <v>9</v>
      </c>
      <c r="F6" s="13">
        <v>0.55179844990216698</v>
      </c>
      <c r="G6" s="17">
        <v>44977</v>
      </c>
      <c r="H6" s="13">
        <v>0.19789786446941801</v>
      </c>
      <c r="I6" s="4"/>
    </row>
    <row r="7" spans="1:9" ht="14.25">
      <c r="A7" s="15" t="s">
        <v>20</v>
      </c>
      <c r="B7" s="16" t="s">
        <v>21</v>
      </c>
      <c r="C7" s="12" t="s">
        <v>22</v>
      </c>
      <c r="D7" s="17">
        <v>44529</v>
      </c>
      <c r="E7" s="13">
        <v>1</v>
      </c>
      <c r="F7" s="13">
        <v>0.30386848867018701</v>
      </c>
      <c r="G7" s="17">
        <v>44969</v>
      </c>
      <c r="H7" s="13">
        <v>0.97814412656590199</v>
      </c>
      <c r="I7" s="4"/>
    </row>
    <row r="8" spans="1:9" ht="14.25">
      <c r="A8" s="15" t="s">
        <v>23</v>
      </c>
      <c r="B8" s="16" t="s">
        <v>24</v>
      </c>
      <c r="C8" s="12" t="s">
        <v>25</v>
      </c>
      <c r="D8" s="17">
        <v>44500</v>
      </c>
      <c r="E8" s="13">
        <v>3</v>
      </c>
      <c r="F8" s="13">
        <v>0.100945559071712</v>
      </c>
      <c r="G8" s="17">
        <v>44930</v>
      </c>
      <c r="H8" s="13">
        <v>0.407405377776074</v>
      </c>
      <c r="I8" s="4"/>
    </row>
    <row r="9" spans="1:9" ht="14.25">
      <c r="A9" s="15" t="s">
        <v>26</v>
      </c>
      <c r="B9" s="16" t="s">
        <v>27</v>
      </c>
      <c r="C9" s="12" t="s">
        <v>28</v>
      </c>
      <c r="D9" s="17">
        <v>44584</v>
      </c>
      <c r="E9" s="13">
        <v>4</v>
      </c>
      <c r="F9" s="13">
        <v>0.13652069785058399</v>
      </c>
      <c r="G9" s="17">
        <v>44991</v>
      </c>
      <c r="H9" s="13">
        <v>0.38969057106772598</v>
      </c>
      <c r="I9" s="4"/>
    </row>
    <row r="10" spans="1:9" ht="14.25">
      <c r="A10" s="15" t="s">
        <v>29</v>
      </c>
      <c r="B10" s="16" t="s">
        <v>30</v>
      </c>
      <c r="C10" s="12" t="s">
        <v>31</v>
      </c>
      <c r="D10" s="17">
        <v>44472</v>
      </c>
      <c r="E10" s="13">
        <v>10</v>
      </c>
      <c r="F10" s="13">
        <v>0.41670439236003598</v>
      </c>
      <c r="G10" s="17">
        <v>45045</v>
      </c>
      <c r="H10" s="13">
        <v>0.54934508287877304</v>
      </c>
      <c r="I10" s="4"/>
    </row>
    <row r="11" spans="1:9" ht="14.25">
      <c r="A11" s="15" t="s">
        <v>32</v>
      </c>
      <c r="B11" s="16" t="s">
        <v>21</v>
      </c>
      <c r="C11" s="12" t="s">
        <v>22</v>
      </c>
      <c r="D11" s="17">
        <v>44587</v>
      </c>
      <c r="E11" s="13">
        <v>6</v>
      </c>
      <c r="F11" s="13">
        <v>0.24316986891245501</v>
      </c>
      <c r="G11" s="17">
        <v>44987</v>
      </c>
      <c r="H11" s="13">
        <v>0.420232824731951</v>
      </c>
      <c r="I11" s="4"/>
    </row>
    <row r="12" spans="1:9" ht="14.25">
      <c r="A12" s="15" t="s">
        <v>33</v>
      </c>
      <c r="B12" s="16" t="s">
        <v>34</v>
      </c>
      <c r="C12" s="12" t="s">
        <v>35</v>
      </c>
      <c r="D12" s="17">
        <v>44407</v>
      </c>
      <c r="E12" s="13">
        <v>5</v>
      </c>
      <c r="F12" s="13">
        <v>0.80079383386161695</v>
      </c>
      <c r="G12" s="17">
        <v>44996</v>
      </c>
      <c r="H12" s="13">
        <v>0.89666229529100405</v>
      </c>
      <c r="I12" s="4"/>
    </row>
    <row r="13" spans="1:9" ht="14.25">
      <c r="A13" s="15" t="s">
        <v>36</v>
      </c>
      <c r="B13" s="16" t="s">
        <v>9</v>
      </c>
      <c r="C13" s="12" t="s">
        <v>10</v>
      </c>
      <c r="D13" s="17">
        <v>44543</v>
      </c>
      <c r="E13" s="13">
        <v>10</v>
      </c>
      <c r="F13" s="13">
        <v>0.638981266676107</v>
      </c>
      <c r="G13" s="17">
        <v>45031</v>
      </c>
      <c r="H13" s="13">
        <v>0.77496721699985804</v>
      </c>
      <c r="I13" s="4"/>
    </row>
    <row r="14" spans="1:9" ht="14.25">
      <c r="A14" s="15" t="s">
        <v>37</v>
      </c>
      <c r="B14" s="16" t="s">
        <v>9</v>
      </c>
      <c r="C14" s="12" t="s">
        <v>10</v>
      </c>
      <c r="D14" s="17">
        <v>44925</v>
      </c>
      <c r="E14" s="13">
        <v>8</v>
      </c>
      <c r="F14" s="13">
        <v>0.34625418958602699</v>
      </c>
      <c r="G14" s="17">
        <v>45034</v>
      </c>
      <c r="H14" s="13">
        <v>0.71065052633396197</v>
      </c>
      <c r="I14" s="4"/>
    </row>
    <row r="15" spans="1:9" ht="14.25">
      <c r="A15" s="15" t="s">
        <v>38</v>
      </c>
      <c r="B15" s="16" t="s">
        <v>39</v>
      </c>
      <c r="C15" s="12" t="s">
        <v>40</v>
      </c>
      <c r="D15" s="17">
        <v>44355</v>
      </c>
      <c r="E15" s="13">
        <v>6</v>
      </c>
      <c r="F15" s="13">
        <v>0.36584758654187899</v>
      </c>
      <c r="G15" s="17">
        <v>45023</v>
      </c>
      <c r="H15" s="13">
        <v>0.45311698845143</v>
      </c>
      <c r="I15" s="4"/>
    </row>
    <row r="16" spans="1:9" ht="14.25">
      <c r="A16" s="15" t="s">
        <v>41</v>
      </c>
      <c r="B16" s="16" t="s">
        <v>27</v>
      </c>
      <c r="C16" s="12" t="s">
        <v>28</v>
      </c>
      <c r="D16" s="17">
        <v>44710</v>
      </c>
      <c r="E16" s="13">
        <v>6</v>
      </c>
      <c r="F16" s="13">
        <v>0.379060395757914</v>
      </c>
      <c r="G16" s="17">
        <v>44977</v>
      </c>
      <c r="H16" s="13">
        <v>0.31616207722275602</v>
      </c>
      <c r="I16" s="4"/>
    </row>
    <row r="17" spans="1:9" ht="14.25">
      <c r="A17" s="15" t="s">
        <v>42</v>
      </c>
      <c r="B17" s="16" t="s">
        <v>43</v>
      </c>
      <c r="C17" s="12" t="s">
        <v>44</v>
      </c>
      <c r="D17" s="17">
        <v>44922</v>
      </c>
      <c r="E17" s="13">
        <v>8</v>
      </c>
      <c r="F17" s="13">
        <v>0.72895214290311094</v>
      </c>
      <c r="G17" s="17">
        <v>45000</v>
      </c>
      <c r="H17" s="13">
        <v>0.22418004410534101</v>
      </c>
      <c r="I17" s="4"/>
    </row>
    <row r="18" spans="1:9" ht="14.25">
      <c r="A18" s="15" t="s">
        <v>45</v>
      </c>
      <c r="B18" s="16" t="s">
        <v>46</v>
      </c>
      <c r="C18" s="12" t="s">
        <v>47</v>
      </c>
      <c r="D18" s="17">
        <v>44294</v>
      </c>
      <c r="E18" s="13">
        <v>5</v>
      </c>
      <c r="F18" s="13">
        <v>0.42202075102150899</v>
      </c>
      <c r="G18" s="17">
        <v>45056</v>
      </c>
      <c r="H18" s="13">
        <v>0.38793156543941099</v>
      </c>
      <c r="I18" s="4"/>
    </row>
    <row r="19" spans="1:9" ht="14.25">
      <c r="A19" s="15" t="s">
        <v>48</v>
      </c>
      <c r="B19" s="16" t="s">
        <v>49</v>
      </c>
      <c r="C19" s="12" t="s">
        <v>50</v>
      </c>
      <c r="D19" s="17">
        <v>44341</v>
      </c>
      <c r="E19" s="13">
        <v>4</v>
      </c>
      <c r="F19" s="13">
        <v>0.221183884694959</v>
      </c>
      <c r="G19" s="17">
        <v>44964</v>
      </c>
      <c r="H19" s="13">
        <v>0.33188863151931702</v>
      </c>
      <c r="I19" s="4"/>
    </row>
    <row r="20" spans="1:9" ht="14.25">
      <c r="A20" s="15" t="s">
        <v>51</v>
      </c>
      <c r="B20" s="16" t="s">
        <v>15</v>
      </c>
      <c r="C20" s="12" t="s">
        <v>10</v>
      </c>
      <c r="D20" s="17">
        <v>44205</v>
      </c>
      <c r="E20" s="13">
        <v>1</v>
      </c>
      <c r="F20" s="13">
        <v>0.33608049957319502</v>
      </c>
      <c r="G20" s="17">
        <v>45067</v>
      </c>
      <c r="H20" s="13">
        <v>0.632173644236244</v>
      </c>
      <c r="I20" s="4"/>
    </row>
    <row r="21" spans="1:9" ht="14.25">
      <c r="A21" s="15" t="s">
        <v>52</v>
      </c>
      <c r="B21" s="16" t="s">
        <v>43</v>
      </c>
      <c r="C21" s="12" t="s">
        <v>44</v>
      </c>
      <c r="D21" s="17">
        <v>44385</v>
      </c>
      <c r="E21" s="13">
        <v>1</v>
      </c>
      <c r="F21" s="13">
        <v>0.66879924137456503</v>
      </c>
      <c r="G21" s="17">
        <v>45019</v>
      </c>
      <c r="H21" s="13">
        <v>0.97050369055421803</v>
      </c>
      <c r="I21" s="4"/>
    </row>
    <row r="22" spans="1:9" ht="14.25">
      <c r="A22" s="15" t="s">
        <v>53</v>
      </c>
      <c r="B22" s="16" t="s">
        <v>54</v>
      </c>
      <c r="C22" s="12" t="s">
        <v>55</v>
      </c>
      <c r="D22" s="17">
        <v>44418</v>
      </c>
      <c r="E22" s="13">
        <v>1</v>
      </c>
      <c r="F22" s="13">
        <v>0.94855371414201095</v>
      </c>
      <c r="G22" s="17">
        <v>44964</v>
      </c>
      <c r="H22" s="13">
        <v>0.335795433783181</v>
      </c>
      <c r="I22" s="4"/>
    </row>
    <row r="23" spans="1:9" ht="14.25">
      <c r="A23" s="15" t="s">
        <v>56</v>
      </c>
      <c r="B23" s="16" t="s">
        <v>9</v>
      </c>
      <c r="C23" s="12" t="s">
        <v>10</v>
      </c>
      <c r="D23" s="17">
        <v>44303</v>
      </c>
      <c r="E23" s="13">
        <v>9</v>
      </c>
      <c r="F23" s="13">
        <v>0.84008770787604403</v>
      </c>
      <c r="G23" s="17">
        <v>45011</v>
      </c>
      <c r="H23" s="13">
        <v>0.55247139186324401</v>
      </c>
      <c r="I23" s="4"/>
    </row>
    <row r="24" spans="1:9" ht="14.25">
      <c r="A24" s="15" t="s">
        <v>57</v>
      </c>
      <c r="B24" s="16" t="s">
        <v>58</v>
      </c>
      <c r="C24" s="12" t="s">
        <v>59</v>
      </c>
      <c r="D24" s="17">
        <v>44469</v>
      </c>
      <c r="E24" s="13">
        <v>2</v>
      </c>
      <c r="F24" s="13">
        <v>2.2027610408179498E-3</v>
      </c>
      <c r="G24" s="17">
        <v>45016</v>
      </c>
      <c r="H24" s="13">
        <v>0.38274839978632802</v>
      </c>
      <c r="I24" s="4"/>
    </row>
    <row r="25" spans="1:9" ht="14.25">
      <c r="A25" s="15" t="s">
        <v>60</v>
      </c>
      <c r="B25" s="16" t="s">
        <v>61</v>
      </c>
      <c r="C25" s="12" t="s">
        <v>62</v>
      </c>
      <c r="D25" s="17">
        <v>44786</v>
      </c>
      <c r="E25" s="13">
        <v>3</v>
      </c>
      <c r="F25" s="13">
        <v>0.70520735936114698</v>
      </c>
      <c r="G25" s="17">
        <v>45023</v>
      </c>
      <c r="H25" s="13">
        <v>0.85427426099032899</v>
      </c>
      <c r="I25" s="4"/>
    </row>
    <row r="26" spans="1:9" ht="14.25">
      <c r="A26" s="15" t="s">
        <v>63</v>
      </c>
      <c r="B26" s="16" t="s">
        <v>30</v>
      </c>
      <c r="C26" s="12" t="s">
        <v>31</v>
      </c>
      <c r="D26" s="17">
        <v>44882</v>
      </c>
      <c r="E26" s="13">
        <v>2</v>
      </c>
      <c r="F26" s="13">
        <v>0.83894286337563995</v>
      </c>
      <c r="G26" s="17">
        <v>44933</v>
      </c>
      <c r="H26" s="13">
        <v>0.67630232908539301</v>
      </c>
      <c r="I26" s="4"/>
    </row>
    <row r="27" spans="1:9" ht="14.25">
      <c r="A27" s="15" t="s">
        <v>64</v>
      </c>
      <c r="B27" s="16" t="s">
        <v>58</v>
      </c>
      <c r="C27" s="12" t="s">
        <v>59</v>
      </c>
      <c r="D27" s="17">
        <v>44725</v>
      </c>
      <c r="E27" s="13">
        <v>8</v>
      </c>
      <c r="F27" s="13">
        <v>0.87889715359181098</v>
      </c>
      <c r="G27" s="17">
        <v>44932</v>
      </c>
      <c r="H27" s="13">
        <v>0.20020556920871699</v>
      </c>
      <c r="I27" s="4"/>
    </row>
    <row r="28" spans="1:9" ht="14.25">
      <c r="A28" s="15" t="s">
        <v>65</v>
      </c>
      <c r="B28" s="16" t="s">
        <v>24</v>
      </c>
      <c r="C28" s="12" t="s">
        <v>25</v>
      </c>
      <c r="D28" s="17">
        <v>44599</v>
      </c>
      <c r="E28" s="13">
        <v>7</v>
      </c>
      <c r="F28" s="13">
        <v>0.81200798012546904</v>
      </c>
      <c r="G28" s="17">
        <v>45064</v>
      </c>
      <c r="H28" s="13">
        <v>0.26150647842758601</v>
      </c>
      <c r="I28" s="4"/>
    </row>
    <row r="29" spans="1:9" ht="14.25">
      <c r="A29" s="15" t="s">
        <v>66</v>
      </c>
      <c r="B29" s="16" t="s">
        <v>9</v>
      </c>
      <c r="C29" s="12" t="s">
        <v>10</v>
      </c>
      <c r="D29" s="17">
        <v>44492</v>
      </c>
      <c r="E29" s="13">
        <v>1</v>
      </c>
      <c r="F29" s="13">
        <v>0.27554760755730201</v>
      </c>
      <c r="G29" s="17">
        <v>45049</v>
      </c>
      <c r="H29" s="13">
        <v>0.19858809226913399</v>
      </c>
      <c r="I29" s="4"/>
    </row>
    <row r="30" spans="1:9" ht="14.25">
      <c r="A30" s="15" t="s">
        <v>67</v>
      </c>
      <c r="B30" s="16" t="s">
        <v>9</v>
      </c>
      <c r="C30" s="12" t="s">
        <v>10</v>
      </c>
      <c r="D30" s="17">
        <v>44523</v>
      </c>
      <c r="E30" s="13">
        <v>3</v>
      </c>
      <c r="F30" s="13">
        <v>0.15183590676997499</v>
      </c>
      <c r="G30" s="17">
        <v>45036</v>
      </c>
      <c r="H30" s="13">
        <v>0.96263635120934099</v>
      </c>
      <c r="I30" s="4"/>
    </row>
    <row r="31" spans="1:9" ht="14.25">
      <c r="A31" s="15" t="s">
        <v>68</v>
      </c>
      <c r="B31" s="16" t="s">
        <v>34</v>
      </c>
      <c r="C31" s="12" t="s">
        <v>35</v>
      </c>
      <c r="D31" s="17">
        <v>44281</v>
      </c>
      <c r="E31" s="13">
        <v>1</v>
      </c>
      <c r="F31" s="13">
        <v>0.31751651418006399</v>
      </c>
      <c r="G31" s="17">
        <v>44967</v>
      </c>
      <c r="H31" s="13">
        <v>0.47080505116614901</v>
      </c>
      <c r="I31" s="4"/>
    </row>
    <row r="32" spans="1:9" ht="14.25">
      <c r="A32" s="15" t="s">
        <v>69</v>
      </c>
      <c r="B32" s="16" t="s">
        <v>54</v>
      </c>
      <c r="C32" s="12" t="s">
        <v>55</v>
      </c>
      <c r="D32" s="17">
        <v>44594</v>
      </c>
      <c r="E32" s="13">
        <v>7</v>
      </c>
      <c r="F32" s="13">
        <v>8.2508842921547004E-2</v>
      </c>
      <c r="G32" s="17">
        <v>44981</v>
      </c>
      <c r="H32" s="13">
        <v>0.90723039307728803</v>
      </c>
      <c r="I32" s="4"/>
    </row>
    <row r="33" spans="1:9" ht="14.25">
      <c r="A33" s="15" t="s">
        <v>70</v>
      </c>
      <c r="B33" s="16" t="s">
        <v>71</v>
      </c>
      <c r="C33" s="12" t="s">
        <v>50</v>
      </c>
      <c r="D33" s="17">
        <v>44239</v>
      </c>
      <c r="E33" s="13">
        <v>9</v>
      </c>
      <c r="F33" s="13">
        <v>3.8415611438702597E-2</v>
      </c>
      <c r="G33" s="17">
        <v>45034</v>
      </c>
      <c r="H33" s="13">
        <v>0.69214535069910299</v>
      </c>
      <c r="I33" s="4"/>
    </row>
    <row r="34" spans="1:9" ht="14.25">
      <c r="A34" s="15" t="s">
        <v>72</v>
      </c>
      <c r="B34" s="16" t="s">
        <v>73</v>
      </c>
      <c r="C34" s="12" t="s">
        <v>74</v>
      </c>
      <c r="D34" s="17">
        <v>44541</v>
      </c>
      <c r="E34" s="13">
        <v>9</v>
      </c>
      <c r="F34" s="13">
        <v>0.215773738787989</v>
      </c>
      <c r="G34" s="17">
        <v>45040</v>
      </c>
      <c r="H34" s="13">
        <v>0.54884364241615202</v>
      </c>
      <c r="I34" s="4"/>
    </row>
    <row r="35" spans="1:9" ht="14.25">
      <c r="A35" s="15" t="s">
        <v>75</v>
      </c>
      <c r="B35" s="16" t="s">
        <v>34</v>
      </c>
      <c r="C35" s="12" t="s">
        <v>35</v>
      </c>
      <c r="D35" s="17">
        <v>44446</v>
      </c>
      <c r="E35" s="13">
        <v>5</v>
      </c>
      <c r="F35" s="13">
        <v>0.72585135876436702</v>
      </c>
      <c r="G35" s="17">
        <v>45053</v>
      </c>
      <c r="H35" s="13">
        <v>0.173994592694031</v>
      </c>
      <c r="I35" s="4"/>
    </row>
    <row r="36" spans="1:9" ht="14.25">
      <c r="A36" s="15" t="s">
        <v>76</v>
      </c>
      <c r="B36" s="16" t="s">
        <v>17</v>
      </c>
      <c r="C36" s="12" t="s">
        <v>18</v>
      </c>
      <c r="D36" s="17">
        <v>44554</v>
      </c>
      <c r="E36" s="13">
        <v>8</v>
      </c>
      <c r="F36" s="13">
        <v>0.68255570090641804</v>
      </c>
      <c r="G36" s="17">
        <v>44988</v>
      </c>
      <c r="H36" s="13">
        <v>0.60454082217188998</v>
      </c>
      <c r="I36" s="4"/>
    </row>
    <row r="37" spans="1:9" ht="14.25">
      <c r="A37" s="15" t="s">
        <v>77</v>
      </c>
      <c r="B37" s="16" t="s">
        <v>21</v>
      </c>
      <c r="C37" s="12" t="s">
        <v>22</v>
      </c>
      <c r="D37" s="17">
        <v>44198</v>
      </c>
      <c r="E37" s="13">
        <v>3</v>
      </c>
      <c r="F37" s="13">
        <v>0.80123839065137303</v>
      </c>
      <c r="G37" s="17">
        <v>45049</v>
      </c>
      <c r="H37" s="13">
        <v>0.30527628395158701</v>
      </c>
      <c r="I37" s="4"/>
    </row>
    <row r="38" spans="1:9" ht="14.25">
      <c r="A38" s="15" t="s">
        <v>78</v>
      </c>
      <c r="B38" s="16" t="s">
        <v>73</v>
      </c>
      <c r="C38" s="12" t="s">
        <v>74</v>
      </c>
      <c r="D38" s="17">
        <v>44838</v>
      </c>
      <c r="E38" s="13">
        <v>4</v>
      </c>
      <c r="F38" s="13">
        <v>0.86036052556079601</v>
      </c>
      <c r="G38" s="17">
        <v>44968</v>
      </c>
      <c r="H38" s="13">
        <v>0.75556235613803402</v>
      </c>
      <c r="I38" s="4"/>
    </row>
    <row r="39" spans="1:9" ht="14.25">
      <c r="A39" s="15" t="s">
        <v>79</v>
      </c>
      <c r="B39" s="16" t="s">
        <v>34</v>
      </c>
      <c r="C39" s="12" t="s">
        <v>35</v>
      </c>
      <c r="D39" s="17">
        <v>44503</v>
      </c>
      <c r="E39" s="13">
        <v>3</v>
      </c>
      <c r="F39" s="13">
        <v>0.89411437906362101</v>
      </c>
      <c r="G39" s="17">
        <v>44951</v>
      </c>
      <c r="H39" s="13">
        <v>0.15236785201696099</v>
      </c>
      <c r="I39" s="4"/>
    </row>
    <row r="40" spans="1:9" ht="14.25">
      <c r="A40" s="15" t="s">
        <v>80</v>
      </c>
      <c r="B40" s="16" t="s">
        <v>81</v>
      </c>
      <c r="C40" s="12" t="s">
        <v>62</v>
      </c>
      <c r="D40" s="17">
        <v>44579</v>
      </c>
      <c r="E40" s="13">
        <v>10</v>
      </c>
      <c r="F40" s="13">
        <v>0.93792316902615502</v>
      </c>
      <c r="G40" s="17">
        <v>45061</v>
      </c>
      <c r="H40" s="13">
        <v>0.45551581516099299</v>
      </c>
      <c r="I40" s="4"/>
    </row>
    <row r="41" spans="1:9" ht="14.25">
      <c r="A41" s="15" t="s">
        <v>82</v>
      </c>
      <c r="B41" s="16" t="s">
        <v>12</v>
      </c>
      <c r="C41" s="12" t="s">
        <v>13</v>
      </c>
      <c r="D41" s="17">
        <v>44898</v>
      </c>
      <c r="E41" s="13">
        <v>4</v>
      </c>
      <c r="F41" s="13">
        <v>0.70777097045034598</v>
      </c>
      <c r="G41" s="17">
        <v>44969</v>
      </c>
      <c r="H41" s="13">
        <v>0.29010240599643</v>
      </c>
      <c r="I41" s="4"/>
    </row>
    <row r="42" spans="1:9" ht="14.25">
      <c r="A42" s="15" t="s">
        <v>83</v>
      </c>
      <c r="B42" s="16" t="s">
        <v>81</v>
      </c>
      <c r="C42" s="12" t="s">
        <v>62</v>
      </c>
      <c r="D42" s="17">
        <v>44315</v>
      </c>
      <c r="E42" s="13">
        <v>10</v>
      </c>
      <c r="F42" s="13">
        <v>0.32809052787687998</v>
      </c>
      <c r="G42" s="17">
        <v>45058</v>
      </c>
      <c r="H42" s="13">
        <v>0.53620178529362506</v>
      </c>
      <c r="I42" s="4"/>
    </row>
    <row r="43" spans="1:9" ht="14.25">
      <c r="A43" s="15" t="s">
        <v>84</v>
      </c>
      <c r="B43" s="16" t="s">
        <v>12</v>
      </c>
      <c r="C43" s="12" t="s">
        <v>13</v>
      </c>
      <c r="D43" s="17">
        <v>44921</v>
      </c>
      <c r="E43" s="13">
        <v>10</v>
      </c>
      <c r="F43" s="13">
        <v>0.20148931810460499</v>
      </c>
      <c r="G43" s="17">
        <v>45027</v>
      </c>
      <c r="H43" s="13">
        <v>0.37346939187061601</v>
      </c>
      <c r="I43" s="4"/>
    </row>
    <row r="44" spans="1:9" ht="14.25">
      <c r="A44" s="15" t="s">
        <v>85</v>
      </c>
      <c r="B44" s="16" t="s">
        <v>43</v>
      </c>
      <c r="C44" s="12" t="s">
        <v>44</v>
      </c>
      <c r="D44" s="17">
        <v>44708</v>
      </c>
      <c r="E44" s="13">
        <v>6</v>
      </c>
      <c r="F44" s="13">
        <v>3.5993791246495099E-2</v>
      </c>
      <c r="G44" s="17">
        <v>44985</v>
      </c>
      <c r="H44" s="13">
        <v>0.97861539568179701</v>
      </c>
      <c r="I44" s="4"/>
    </row>
    <row r="45" spans="1:9" ht="14.25">
      <c r="A45" s="15" t="s">
        <v>86</v>
      </c>
      <c r="B45" s="16" t="s">
        <v>9</v>
      </c>
      <c r="C45" s="12" t="s">
        <v>10</v>
      </c>
      <c r="D45" s="17">
        <v>44795</v>
      </c>
      <c r="E45" s="13">
        <v>1</v>
      </c>
      <c r="F45" s="13">
        <v>0.71704537744139196</v>
      </c>
      <c r="G45" s="17">
        <v>45022</v>
      </c>
      <c r="H45" s="13">
        <v>0.16233553287650401</v>
      </c>
      <c r="I45" s="4"/>
    </row>
    <row r="46" spans="1:9" ht="14.25">
      <c r="A46" s="15" t="s">
        <v>87</v>
      </c>
      <c r="B46" s="16" t="s">
        <v>49</v>
      </c>
      <c r="C46" s="12" t="s">
        <v>50</v>
      </c>
      <c r="D46" s="17">
        <v>44338</v>
      </c>
      <c r="E46" s="13">
        <v>9</v>
      </c>
      <c r="F46" s="13">
        <v>0.71155870482197403</v>
      </c>
      <c r="G46" s="17">
        <v>45045</v>
      </c>
      <c r="H46" s="13">
        <v>0.15390650537949099</v>
      </c>
      <c r="I46" s="4"/>
    </row>
    <row r="47" spans="1:9" ht="14.25">
      <c r="A47" s="15" t="s">
        <v>88</v>
      </c>
      <c r="B47" s="16" t="s">
        <v>34</v>
      </c>
      <c r="C47" s="12" t="s">
        <v>35</v>
      </c>
      <c r="D47" s="17">
        <v>44274</v>
      </c>
      <c r="E47" s="13">
        <v>6</v>
      </c>
      <c r="F47" s="13">
        <v>6.4033223650055093E-2</v>
      </c>
      <c r="G47" s="17">
        <v>45004</v>
      </c>
      <c r="H47" s="13">
        <v>4.2104998611888203E-3</v>
      </c>
      <c r="I47" s="4"/>
    </row>
    <row r="48" spans="1:9" ht="14.25">
      <c r="A48" s="15" t="s">
        <v>89</v>
      </c>
      <c r="B48" s="16" t="s">
        <v>46</v>
      </c>
      <c r="C48" s="12" t="s">
        <v>47</v>
      </c>
      <c r="D48" s="17">
        <v>44725</v>
      </c>
      <c r="E48" s="13">
        <v>7</v>
      </c>
      <c r="F48" s="13">
        <v>0.97988976578176401</v>
      </c>
      <c r="G48" s="17">
        <v>45051</v>
      </c>
      <c r="H48" s="13">
        <v>4.3763329833777703E-2</v>
      </c>
      <c r="I48" s="4"/>
    </row>
    <row r="49" spans="1:9" ht="14.25">
      <c r="A49" s="15" t="s">
        <v>90</v>
      </c>
      <c r="B49" s="16" t="s">
        <v>30</v>
      </c>
      <c r="C49" s="12" t="s">
        <v>31</v>
      </c>
      <c r="D49" s="17">
        <v>44340</v>
      </c>
      <c r="E49" s="13">
        <v>10</v>
      </c>
      <c r="F49" s="13">
        <v>0.702645841021446</v>
      </c>
      <c r="G49" s="17">
        <v>44928</v>
      </c>
      <c r="H49" s="13">
        <v>0.369783832169231</v>
      </c>
      <c r="I49" s="4"/>
    </row>
    <row r="50" spans="1:9" ht="14.25">
      <c r="A50" s="15" t="s">
        <v>91</v>
      </c>
      <c r="B50" s="16" t="s">
        <v>24</v>
      </c>
      <c r="C50" s="12" t="s">
        <v>25</v>
      </c>
      <c r="D50" s="17">
        <v>44502</v>
      </c>
      <c r="E50" s="13">
        <v>3</v>
      </c>
      <c r="F50" s="13">
        <v>6.7860349366877903E-2</v>
      </c>
      <c r="G50" s="17">
        <v>45026</v>
      </c>
      <c r="H50" s="13">
        <v>0.67274821533457596</v>
      </c>
      <c r="I50" s="4"/>
    </row>
    <row r="51" spans="1:9" ht="14.25">
      <c r="A51" s="15" t="s">
        <v>92</v>
      </c>
      <c r="B51" s="16" t="s">
        <v>54</v>
      </c>
      <c r="C51" s="12" t="s">
        <v>55</v>
      </c>
      <c r="D51" s="17">
        <v>44560</v>
      </c>
      <c r="E51" s="13">
        <v>9</v>
      </c>
      <c r="F51" s="13">
        <v>0.407593318710052</v>
      </c>
      <c r="G51" s="17">
        <v>44988</v>
      </c>
      <c r="H51" s="13">
        <v>0.63816582309695902</v>
      </c>
      <c r="I51" s="4"/>
    </row>
    <row r="52" spans="1:9" ht="14.25">
      <c r="A52" s="15" t="s">
        <v>93</v>
      </c>
      <c r="B52" s="16" t="s">
        <v>61</v>
      </c>
      <c r="C52" s="12" t="s">
        <v>62</v>
      </c>
      <c r="D52" s="17">
        <v>44361</v>
      </c>
      <c r="E52" s="13">
        <v>4</v>
      </c>
      <c r="F52" s="13">
        <v>0.52920695915069904</v>
      </c>
      <c r="G52" s="17">
        <v>44976</v>
      </c>
      <c r="H52" s="13">
        <v>0.13238552807963799</v>
      </c>
      <c r="I52" s="4"/>
    </row>
    <row r="53" spans="1:9" ht="14.25">
      <c r="A53" s="15" t="s">
        <v>94</v>
      </c>
      <c r="B53" s="16" t="s">
        <v>17</v>
      </c>
      <c r="C53" s="12" t="s">
        <v>18</v>
      </c>
      <c r="D53" s="17">
        <v>44343</v>
      </c>
      <c r="E53" s="13">
        <v>1</v>
      </c>
      <c r="F53" s="13">
        <v>0.83003541427247696</v>
      </c>
      <c r="G53" s="17">
        <v>44965</v>
      </c>
      <c r="H53" s="13">
        <v>0.52621974753425005</v>
      </c>
      <c r="I53" s="4"/>
    </row>
    <row r="54" spans="1:9" ht="14.25">
      <c r="A54" s="15" t="s">
        <v>95</v>
      </c>
      <c r="B54" s="16" t="s">
        <v>17</v>
      </c>
      <c r="C54" s="12" t="s">
        <v>18</v>
      </c>
      <c r="D54" s="17">
        <v>44382</v>
      </c>
      <c r="E54" s="13">
        <v>9</v>
      </c>
      <c r="F54" s="13">
        <v>0.13503720101241901</v>
      </c>
      <c r="G54" s="17">
        <v>45017</v>
      </c>
      <c r="H54" s="13">
        <v>0.85749627053317901</v>
      </c>
      <c r="I54" s="4"/>
    </row>
    <row r="55" spans="1:9" ht="14.25">
      <c r="A55" s="15" t="s">
        <v>96</v>
      </c>
      <c r="B55" s="16" t="s">
        <v>54</v>
      </c>
      <c r="C55" s="12" t="s">
        <v>55</v>
      </c>
      <c r="D55" s="17">
        <v>44680</v>
      </c>
      <c r="E55" s="13">
        <v>2</v>
      </c>
      <c r="F55" s="13">
        <v>0.18457397753690899</v>
      </c>
      <c r="G55" s="17">
        <v>45004</v>
      </c>
      <c r="H55" s="13">
        <v>0.74032989684219797</v>
      </c>
      <c r="I55" s="4"/>
    </row>
    <row r="56" spans="1:9" ht="14.25">
      <c r="A56" s="15" t="s">
        <v>97</v>
      </c>
      <c r="B56" s="16" t="s">
        <v>24</v>
      </c>
      <c r="C56" s="12" t="s">
        <v>25</v>
      </c>
      <c r="D56" s="17">
        <v>44816</v>
      </c>
      <c r="E56" s="13">
        <v>7</v>
      </c>
      <c r="F56" s="13">
        <v>1.4827494446379701E-2</v>
      </c>
      <c r="G56" s="17">
        <v>44978</v>
      </c>
      <c r="H56" s="13">
        <v>0.41833053891377597</v>
      </c>
      <c r="I56" s="4"/>
    </row>
    <row r="57" spans="1:9" ht="14.25">
      <c r="A57" s="15" t="s">
        <v>98</v>
      </c>
      <c r="B57" s="16" t="s">
        <v>27</v>
      </c>
      <c r="C57" s="12" t="s">
        <v>28</v>
      </c>
      <c r="D57" s="17">
        <v>44278</v>
      </c>
      <c r="E57" s="13">
        <v>4</v>
      </c>
      <c r="F57" s="13">
        <v>0.27577765609607802</v>
      </c>
      <c r="G57" s="17">
        <v>45071</v>
      </c>
      <c r="H57" s="13">
        <v>0.84349820990746505</v>
      </c>
      <c r="I57" s="4"/>
    </row>
    <row r="58" spans="1:9" ht="14.25">
      <c r="A58" s="15" t="s">
        <v>99</v>
      </c>
      <c r="B58" s="16" t="s">
        <v>43</v>
      </c>
      <c r="C58" s="12" t="s">
        <v>44</v>
      </c>
      <c r="D58" s="17">
        <v>44667</v>
      </c>
      <c r="E58" s="13">
        <v>2</v>
      </c>
      <c r="F58" s="13">
        <v>1.4798370860461801E-2</v>
      </c>
      <c r="G58" s="17">
        <v>45011</v>
      </c>
      <c r="H58" s="13">
        <v>0.65581817056759795</v>
      </c>
      <c r="I58" s="4"/>
    </row>
    <row r="59" spans="1:9" ht="14.25">
      <c r="A59" s="15" t="s">
        <v>100</v>
      </c>
      <c r="B59" s="16" t="s">
        <v>71</v>
      </c>
      <c r="C59" s="12" t="s">
        <v>50</v>
      </c>
      <c r="D59" s="17">
        <v>44420</v>
      </c>
      <c r="E59" s="13">
        <v>4</v>
      </c>
      <c r="F59" s="13">
        <v>0.71929697815108395</v>
      </c>
      <c r="G59" s="17">
        <v>45029</v>
      </c>
      <c r="H59" s="13">
        <v>5.4091466872212501E-2</v>
      </c>
      <c r="I59" s="4"/>
    </row>
    <row r="60" spans="1:9" ht="14.25">
      <c r="A60" s="15" t="s">
        <v>101</v>
      </c>
      <c r="B60" s="16" t="s">
        <v>34</v>
      </c>
      <c r="C60" s="12" t="s">
        <v>35</v>
      </c>
      <c r="D60" s="17">
        <v>44922</v>
      </c>
      <c r="E60" s="13">
        <v>6</v>
      </c>
      <c r="F60" s="13">
        <v>0.45894107528788403</v>
      </c>
      <c r="G60" s="17">
        <v>44952</v>
      </c>
      <c r="H60" s="13">
        <v>0.64879966285478297</v>
      </c>
      <c r="I60" s="4"/>
    </row>
    <row r="61" spans="1:9" ht="14.25">
      <c r="A61" s="15" t="s">
        <v>102</v>
      </c>
      <c r="B61" s="16" t="s">
        <v>103</v>
      </c>
      <c r="C61" s="12" t="s">
        <v>104</v>
      </c>
      <c r="D61" s="17">
        <v>44356</v>
      </c>
      <c r="E61" s="13">
        <v>6</v>
      </c>
      <c r="F61" s="13">
        <v>0.75369284563293804</v>
      </c>
      <c r="G61" s="17">
        <v>45000</v>
      </c>
      <c r="H61" s="13">
        <v>0.95310350121023102</v>
      </c>
      <c r="I61" s="4"/>
    </row>
    <row r="62" spans="1:9" ht="14.25">
      <c r="A62" s="15" t="s">
        <v>105</v>
      </c>
      <c r="B62" s="16" t="s">
        <v>39</v>
      </c>
      <c r="C62" s="12" t="s">
        <v>40</v>
      </c>
      <c r="D62" s="17">
        <v>44315</v>
      </c>
      <c r="E62" s="13">
        <v>7</v>
      </c>
      <c r="F62" s="13">
        <v>0.73835370024837998</v>
      </c>
      <c r="G62" s="17">
        <v>45020</v>
      </c>
      <c r="H62" s="13">
        <v>0.10264222958663</v>
      </c>
      <c r="I62" s="4"/>
    </row>
    <row r="63" spans="1:9" ht="14.25">
      <c r="A63" s="15" t="s">
        <v>106</v>
      </c>
      <c r="B63" s="16" t="s">
        <v>12</v>
      </c>
      <c r="C63" s="12" t="s">
        <v>13</v>
      </c>
      <c r="D63" s="17">
        <v>44860</v>
      </c>
      <c r="E63" s="13">
        <v>8</v>
      </c>
      <c r="F63" s="13">
        <v>0.585256316656942</v>
      </c>
      <c r="G63" s="17">
        <v>45041</v>
      </c>
      <c r="H63" s="13">
        <v>0.63534355964006295</v>
      </c>
      <c r="I63" s="4"/>
    </row>
    <row r="64" spans="1:9" ht="14.25">
      <c r="A64" s="15" t="s">
        <v>107</v>
      </c>
      <c r="B64" s="16" t="s">
        <v>58</v>
      </c>
      <c r="C64" s="12" t="s">
        <v>59</v>
      </c>
      <c r="D64" s="17">
        <v>44340</v>
      </c>
      <c r="E64" s="13">
        <v>9</v>
      </c>
      <c r="F64" s="13">
        <v>0.87646719833682096</v>
      </c>
      <c r="G64" s="17">
        <v>44957</v>
      </c>
      <c r="H64" s="13">
        <v>0.32932752883912297</v>
      </c>
      <c r="I64" s="4"/>
    </row>
    <row r="65" spans="1:9" ht="14.25">
      <c r="A65" s="15" t="s">
        <v>108</v>
      </c>
      <c r="B65" s="16" t="s">
        <v>34</v>
      </c>
      <c r="C65" s="12" t="s">
        <v>35</v>
      </c>
      <c r="D65" s="17">
        <v>44773</v>
      </c>
      <c r="E65" s="13">
        <v>5</v>
      </c>
      <c r="F65" s="13">
        <v>0.68720157697523698</v>
      </c>
      <c r="G65" s="17">
        <v>45054</v>
      </c>
      <c r="H65" s="13">
        <v>0.79990973215818495</v>
      </c>
      <c r="I65" s="4"/>
    </row>
    <row r="66" spans="1:9" ht="14.25">
      <c r="A66" s="15" t="s">
        <v>109</v>
      </c>
      <c r="B66" s="16" t="s">
        <v>27</v>
      </c>
      <c r="C66" s="12" t="s">
        <v>28</v>
      </c>
      <c r="D66" s="17">
        <v>44347</v>
      </c>
      <c r="E66" s="13">
        <v>1</v>
      </c>
      <c r="F66" s="13">
        <v>0.48588703608226103</v>
      </c>
      <c r="G66" s="17">
        <v>45035</v>
      </c>
      <c r="H66" s="13">
        <v>0.45518918214522902</v>
      </c>
      <c r="I66" s="4"/>
    </row>
    <row r="67" spans="1:9" ht="14.25">
      <c r="A67" s="15" t="s">
        <v>110</v>
      </c>
      <c r="B67" s="16" t="s">
        <v>71</v>
      </c>
      <c r="C67" s="12" t="s">
        <v>50</v>
      </c>
      <c r="D67" s="17">
        <v>44659</v>
      </c>
      <c r="E67" s="13">
        <v>2</v>
      </c>
      <c r="F67" s="13">
        <v>0.68555193640676504</v>
      </c>
      <c r="G67" s="17">
        <v>45014</v>
      </c>
      <c r="H67" s="13">
        <v>0.40035912772023502</v>
      </c>
      <c r="I67" s="4"/>
    </row>
    <row r="68" spans="1:9" ht="14.25">
      <c r="A68" s="15" t="s">
        <v>111</v>
      </c>
      <c r="B68" s="16" t="s">
        <v>58</v>
      </c>
      <c r="C68" s="12" t="s">
        <v>59</v>
      </c>
      <c r="D68" s="17">
        <v>44679</v>
      </c>
      <c r="E68" s="13">
        <v>1</v>
      </c>
      <c r="F68" s="13">
        <v>0.574831092396204</v>
      </c>
      <c r="G68" s="17">
        <v>44936</v>
      </c>
      <c r="H68" s="13">
        <v>0.14703843884491</v>
      </c>
      <c r="I68" s="4"/>
    </row>
    <row r="69" spans="1:9" ht="14.25">
      <c r="A69" s="15" t="s">
        <v>112</v>
      </c>
      <c r="B69" s="16" t="s">
        <v>81</v>
      </c>
      <c r="C69" s="12" t="s">
        <v>62</v>
      </c>
      <c r="D69" s="17">
        <v>44800</v>
      </c>
      <c r="E69" s="13">
        <v>4</v>
      </c>
      <c r="F69" s="13">
        <v>0.89057060464664195</v>
      </c>
      <c r="G69" s="17">
        <v>45004</v>
      </c>
      <c r="H69" s="13">
        <v>0.24766978894018499</v>
      </c>
      <c r="I69" s="4"/>
    </row>
    <row r="70" spans="1:9" ht="14.25">
      <c r="A70" s="15" t="s">
        <v>113</v>
      </c>
      <c r="B70" s="16" t="s">
        <v>9</v>
      </c>
      <c r="C70" s="12" t="s">
        <v>10</v>
      </c>
      <c r="D70" s="17">
        <v>44889</v>
      </c>
      <c r="E70" s="13">
        <v>4</v>
      </c>
      <c r="F70" s="13">
        <v>0.64606533640427699</v>
      </c>
      <c r="G70" s="17">
        <v>44977</v>
      </c>
      <c r="H70" s="13">
        <v>0.75502767909149604</v>
      </c>
      <c r="I70" s="4"/>
    </row>
    <row r="71" spans="1:9" ht="14.25">
      <c r="A71" s="15" t="s">
        <v>114</v>
      </c>
      <c r="B71" s="16" t="s">
        <v>103</v>
      </c>
      <c r="C71" s="12" t="s">
        <v>104</v>
      </c>
      <c r="D71" s="17">
        <v>44574</v>
      </c>
      <c r="E71" s="13">
        <v>5</v>
      </c>
      <c r="F71" s="13">
        <v>2.4408043245797401E-2</v>
      </c>
      <c r="G71" s="17">
        <v>45041</v>
      </c>
      <c r="H71" s="13">
        <v>0.11842008103757801</v>
      </c>
      <c r="I71" s="4"/>
    </row>
    <row r="72" spans="1:9" ht="14.25">
      <c r="A72" s="15" t="s">
        <v>115</v>
      </c>
      <c r="B72" s="16" t="s">
        <v>61</v>
      </c>
      <c r="C72" s="12" t="s">
        <v>62</v>
      </c>
      <c r="D72" s="17">
        <v>44752</v>
      </c>
      <c r="E72" s="13">
        <v>1</v>
      </c>
      <c r="F72" s="13">
        <v>0.144587962809021</v>
      </c>
      <c r="G72" s="17">
        <v>44974</v>
      </c>
      <c r="H72" s="13">
        <v>0.22337306376263399</v>
      </c>
      <c r="I72" s="4"/>
    </row>
    <row r="73" spans="1:9" ht="14.25">
      <c r="A73" s="15" t="s">
        <v>116</v>
      </c>
      <c r="B73" s="16" t="s">
        <v>46</v>
      </c>
      <c r="C73" s="12" t="s">
        <v>47</v>
      </c>
      <c r="D73" s="17">
        <v>44786</v>
      </c>
      <c r="E73" s="13">
        <v>7</v>
      </c>
      <c r="F73" s="13">
        <v>1.31744392227479E-2</v>
      </c>
      <c r="G73" s="17">
        <v>45030</v>
      </c>
      <c r="H73" s="13">
        <v>0.97185682841004495</v>
      </c>
      <c r="I73" s="4"/>
    </row>
    <row r="74" spans="1:9" ht="14.25">
      <c r="A74" s="15" t="s">
        <v>117</v>
      </c>
      <c r="B74" s="16" t="s">
        <v>21</v>
      </c>
      <c r="C74" s="12" t="s">
        <v>22</v>
      </c>
      <c r="D74" s="17">
        <v>44644</v>
      </c>
      <c r="E74" s="13">
        <v>4</v>
      </c>
      <c r="F74" s="13">
        <v>0.81530857906975795</v>
      </c>
      <c r="G74" s="17">
        <v>44954</v>
      </c>
      <c r="H74" s="13">
        <v>0.48260987316073201</v>
      </c>
      <c r="I74" s="4"/>
    </row>
    <row r="75" spans="1:9" ht="14.25">
      <c r="A75" s="15" t="s">
        <v>118</v>
      </c>
      <c r="B75" s="16" t="s">
        <v>17</v>
      </c>
      <c r="C75" s="12" t="s">
        <v>18</v>
      </c>
      <c r="D75" s="17">
        <v>44554</v>
      </c>
      <c r="E75" s="13">
        <v>6</v>
      </c>
      <c r="F75" s="13">
        <v>0.15491081045699601</v>
      </c>
      <c r="G75" s="17">
        <v>45064</v>
      </c>
      <c r="H75" s="13">
        <v>0.76802453424894601</v>
      </c>
      <c r="I75" s="4"/>
    </row>
    <row r="76" spans="1:9" ht="14.25">
      <c r="A76" s="15" t="s">
        <v>119</v>
      </c>
      <c r="B76" s="16" t="s">
        <v>58</v>
      </c>
      <c r="C76" s="12" t="s">
        <v>59</v>
      </c>
      <c r="D76" s="17">
        <v>44706</v>
      </c>
      <c r="E76" s="13">
        <v>1</v>
      </c>
      <c r="F76" s="13">
        <v>0.269555056043635</v>
      </c>
      <c r="G76" s="17">
        <v>45000</v>
      </c>
      <c r="H76" s="13">
        <v>0.122182361751799</v>
      </c>
      <c r="I76" s="4"/>
    </row>
    <row r="77" spans="1:9" ht="14.25">
      <c r="A77" s="15" t="s">
        <v>120</v>
      </c>
      <c r="B77" s="16" t="s">
        <v>15</v>
      </c>
      <c r="C77" s="12" t="s">
        <v>10</v>
      </c>
      <c r="D77" s="17">
        <v>44794</v>
      </c>
      <c r="E77" s="13">
        <v>3</v>
      </c>
      <c r="F77" s="13">
        <v>0.71512622981990404</v>
      </c>
      <c r="G77" s="17">
        <v>45023</v>
      </c>
      <c r="H77" s="13">
        <v>2.82332058926804E-3</v>
      </c>
      <c r="I77" s="4"/>
    </row>
    <row r="78" spans="1:9" ht="14.25">
      <c r="A78" s="15" t="s">
        <v>121</v>
      </c>
      <c r="B78" s="16" t="s">
        <v>34</v>
      </c>
      <c r="C78" s="12" t="s">
        <v>35</v>
      </c>
      <c r="D78" s="17">
        <v>44423</v>
      </c>
      <c r="E78" s="13">
        <v>5</v>
      </c>
      <c r="F78" s="13">
        <v>0.517478802978105</v>
      </c>
      <c r="G78" s="17">
        <v>44991</v>
      </c>
      <c r="H78" s="13">
        <v>0.194941670945359</v>
      </c>
      <c r="I78" s="4"/>
    </row>
    <row r="79" spans="1:9" ht="14.25">
      <c r="A79" s="15" t="s">
        <v>122</v>
      </c>
      <c r="B79" s="16" t="s">
        <v>58</v>
      </c>
      <c r="C79" s="12" t="s">
        <v>59</v>
      </c>
      <c r="D79" s="17">
        <v>44270</v>
      </c>
      <c r="E79" s="13">
        <v>3</v>
      </c>
      <c r="F79" s="13">
        <v>0.98933192835650696</v>
      </c>
      <c r="G79" s="17">
        <v>44952</v>
      </c>
      <c r="H79" s="13">
        <v>0.116747383128981</v>
      </c>
      <c r="I79" s="4"/>
    </row>
    <row r="80" spans="1:9" ht="14.25">
      <c r="A80" s="15" t="s">
        <v>123</v>
      </c>
      <c r="B80" s="16" t="s">
        <v>73</v>
      </c>
      <c r="C80" s="12" t="s">
        <v>74</v>
      </c>
      <c r="D80" s="17">
        <v>44852</v>
      </c>
      <c r="E80" s="13">
        <v>5</v>
      </c>
      <c r="F80" s="13">
        <v>0.32415684712172899</v>
      </c>
      <c r="G80" s="17">
        <v>45051</v>
      </c>
      <c r="H80" s="13">
        <v>0.28398523541759901</v>
      </c>
      <c r="I80" s="4"/>
    </row>
    <row r="81" spans="1:9" ht="14.25">
      <c r="A81" s="15" t="s">
        <v>124</v>
      </c>
      <c r="B81" s="16" t="s">
        <v>9</v>
      </c>
      <c r="C81" s="12" t="s">
        <v>10</v>
      </c>
      <c r="D81" s="17">
        <v>44343</v>
      </c>
      <c r="E81" s="13">
        <v>6</v>
      </c>
      <c r="F81" s="13">
        <v>0.64559425958074801</v>
      </c>
      <c r="G81" s="17">
        <v>45057</v>
      </c>
      <c r="H81" s="13">
        <v>0.74976354481356899</v>
      </c>
      <c r="I81" s="4"/>
    </row>
    <row r="82" spans="1:9" ht="14.25">
      <c r="A82" s="15" t="s">
        <v>125</v>
      </c>
      <c r="B82" s="16" t="s">
        <v>103</v>
      </c>
      <c r="C82" s="12" t="s">
        <v>104</v>
      </c>
      <c r="D82" s="17">
        <v>44643</v>
      </c>
      <c r="E82" s="13">
        <v>10</v>
      </c>
      <c r="F82" s="13">
        <v>0.13502577444900801</v>
      </c>
      <c r="G82" s="17">
        <v>45050</v>
      </c>
      <c r="H82" s="13">
        <v>9.7289928257875094E-2</v>
      </c>
      <c r="I82" s="4"/>
    </row>
    <row r="83" spans="1:9" ht="14.25">
      <c r="A83" s="15" t="s">
        <v>126</v>
      </c>
      <c r="B83" s="16" t="s">
        <v>43</v>
      </c>
      <c r="C83" s="12" t="s">
        <v>44</v>
      </c>
      <c r="D83" s="17">
        <v>44353</v>
      </c>
      <c r="E83" s="13">
        <v>8</v>
      </c>
      <c r="F83" s="13">
        <v>0.74864767306151003</v>
      </c>
      <c r="G83" s="17">
        <v>45075</v>
      </c>
      <c r="H83" s="13">
        <v>0.91487830622236999</v>
      </c>
      <c r="I83" s="4"/>
    </row>
    <row r="84" spans="1:9" ht="14.25">
      <c r="A84" s="15" t="s">
        <v>127</v>
      </c>
      <c r="B84" s="16" t="s">
        <v>49</v>
      </c>
      <c r="C84" s="12" t="s">
        <v>50</v>
      </c>
      <c r="D84" s="17">
        <v>44703</v>
      </c>
      <c r="E84" s="13">
        <v>1</v>
      </c>
      <c r="F84" s="13">
        <v>0.105161391848884</v>
      </c>
      <c r="G84" s="17">
        <v>45054</v>
      </c>
      <c r="H84" s="13">
        <v>0.22690729464404399</v>
      </c>
      <c r="I84" s="4"/>
    </row>
    <row r="85" spans="1:9" ht="14.25">
      <c r="A85" s="15" t="s">
        <v>128</v>
      </c>
      <c r="B85" s="16" t="s">
        <v>129</v>
      </c>
      <c r="C85" s="12" t="s">
        <v>22</v>
      </c>
      <c r="D85" s="17">
        <v>44742</v>
      </c>
      <c r="E85" s="13">
        <v>6</v>
      </c>
      <c r="F85" s="13">
        <v>0.11408685507641</v>
      </c>
      <c r="G85" s="17">
        <v>44954</v>
      </c>
      <c r="H85" s="13">
        <v>0.33571676903915298</v>
      </c>
      <c r="I85" s="4"/>
    </row>
    <row r="86" spans="1:9" ht="14.25">
      <c r="A86" s="15" t="s">
        <v>130</v>
      </c>
      <c r="B86" s="16" t="s">
        <v>61</v>
      </c>
      <c r="C86" s="12" t="s">
        <v>62</v>
      </c>
      <c r="D86" s="17">
        <v>44600</v>
      </c>
      <c r="E86" s="13">
        <v>1</v>
      </c>
      <c r="F86" s="13">
        <v>0.58372843681935904</v>
      </c>
      <c r="G86" s="17">
        <v>44997</v>
      </c>
      <c r="H86" s="13">
        <v>0.38186645762982302</v>
      </c>
      <c r="I86" s="4"/>
    </row>
    <row r="87" spans="1:9" ht="14.25">
      <c r="A87" s="15" t="s">
        <v>131</v>
      </c>
      <c r="B87" s="16" t="s">
        <v>129</v>
      </c>
      <c r="C87" s="12" t="s">
        <v>22</v>
      </c>
      <c r="D87" s="17">
        <v>44721</v>
      </c>
      <c r="E87" s="13">
        <v>6</v>
      </c>
      <c r="F87" s="13">
        <v>1.6069181318315098E-2</v>
      </c>
      <c r="G87" s="17">
        <v>44928</v>
      </c>
      <c r="H87" s="13">
        <v>0.93551003990677095</v>
      </c>
      <c r="I87" s="4"/>
    </row>
    <row r="88" spans="1:9" ht="14.25">
      <c r="A88" s="15" t="s">
        <v>132</v>
      </c>
      <c r="B88" s="16" t="s">
        <v>103</v>
      </c>
      <c r="C88" s="12" t="s">
        <v>104</v>
      </c>
      <c r="D88" s="17">
        <v>44544</v>
      </c>
      <c r="E88" s="13">
        <v>7</v>
      </c>
      <c r="F88" s="13">
        <v>0.77483286137645402</v>
      </c>
      <c r="G88" s="17">
        <v>44977</v>
      </c>
      <c r="H88" s="13">
        <v>0.83972936204120796</v>
      </c>
      <c r="I88" s="4"/>
    </row>
    <row r="89" spans="1:9" ht="14.25">
      <c r="A89" s="15" t="s">
        <v>133</v>
      </c>
      <c r="B89" s="16" t="s">
        <v>34</v>
      </c>
      <c r="C89" s="12" t="s">
        <v>35</v>
      </c>
      <c r="D89" s="17">
        <v>44304</v>
      </c>
      <c r="E89" s="13">
        <v>6</v>
      </c>
      <c r="F89" s="13">
        <v>0.83415711448827101</v>
      </c>
      <c r="G89" s="17">
        <v>45032</v>
      </c>
      <c r="H89" s="13">
        <v>0.73754903864989096</v>
      </c>
      <c r="I89" s="4"/>
    </row>
    <row r="90" spans="1:9" ht="14.25">
      <c r="A90" s="15" t="s">
        <v>134</v>
      </c>
      <c r="B90" s="16" t="s">
        <v>15</v>
      </c>
      <c r="C90" s="12" t="s">
        <v>10</v>
      </c>
      <c r="D90" s="17">
        <v>44285</v>
      </c>
      <c r="E90" s="13">
        <v>7</v>
      </c>
      <c r="F90" s="13">
        <v>0.27349998025771599</v>
      </c>
      <c r="G90" s="17">
        <v>45056</v>
      </c>
      <c r="H90" s="13">
        <v>0.398707058551939</v>
      </c>
      <c r="I90" s="4"/>
    </row>
    <row r="91" spans="1:9" ht="14.25">
      <c r="A91" s="15" t="s">
        <v>135</v>
      </c>
      <c r="B91" s="16" t="s">
        <v>21</v>
      </c>
      <c r="C91" s="12" t="s">
        <v>22</v>
      </c>
      <c r="D91" s="17">
        <v>44279</v>
      </c>
      <c r="E91" s="13">
        <v>10</v>
      </c>
      <c r="F91" s="13">
        <v>0.17894362318854701</v>
      </c>
      <c r="G91" s="17">
        <v>45026</v>
      </c>
      <c r="H91" s="13">
        <v>0.27983535659688702</v>
      </c>
      <c r="I91" s="4"/>
    </row>
    <row r="92" spans="1:9" ht="14.25">
      <c r="A92" s="15" t="s">
        <v>136</v>
      </c>
      <c r="B92" s="16" t="s">
        <v>9</v>
      </c>
      <c r="C92" s="12" t="s">
        <v>10</v>
      </c>
      <c r="D92" s="17">
        <v>44206</v>
      </c>
      <c r="E92" s="13">
        <v>2</v>
      </c>
      <c r="F92" s="13">
        <v>0.90504227111458202</v>
      </c>
      <c r="G92" s="17">
        <v>44957</v>
      </c>
      <c r="H92" s="13">
        <v>0.45883084719257899</v>
      </c>
      <c r="I92" s="4"/>
    </row>
    <row r="93" spans="1:9" ht="14.25">
      <c r="A93" s="15" t="s">
        <v>137</v>
      </c>
      <c r="B93" s="16" t="s">
        <v>58</v>
      </c>
      <c r="C93" s="12" t="s">
        <v>59</v>
      </c>
      <c r="D93" s="17">
        <v>44557</v>
      </c>
      <c r="E93" s="13">
        <v>4</v>
      </c>
      <c r="F93" s="13">
        <v>3.6105377236760302E-3</v>
      </c>
      <c r="G93" s="17">
        <v>44993</v>
      </c>
      <c r="H93" s="13">
        <v>0.430410454177235</v>
      </c>
      <c r="I93" s="4"/>
    </row>
    <row r="94" spans="1:9" ht="14.25">
      <c r="A94" s="15" t="s">
        <v>138</v>
      </c>
      <c r="B94" s="16" t="s">
        <v>81</v>
      </c>
      <c r="C94" s="12" t="s">
        <v>62</v>
      </c>
      <c r="D94" s="17">
        <v>44366</v>
      </c>
      <c r="E94" s="13">
        <v>2</v>
      </c>
      <c r="F94" s="13">
        <v>0.256532208615462</v>
      </c>
      <c r="G94" s="17">
        <v>44975</v>
      </c>
      <c r="H94" s="13">
        <v>0.25683090454434099</v>
      </c>
      <c r="I94" s="4"/>
    </row>
    <row r="95" spans="1:9" ht="14.25">
      <c r="A95" s="15" t="s">
        <v>139</v>
      </c>
      <c r="B95" s="16" t="s">
        <v>103</v>
      </c>
      <c r="C95" s="12" t="s">
        <v>104</v>
      </c>
      <c r="D95" s="17">
        <v>44250</v>
      </c>
      <c r="E95" s="13">
        <v>5</v>
      </c>
      <c r="F95" s="13">
        <v>0.70021844930653598</v>
      </c>
      <c r="G95" s="17">
        <v>45008</v>
      </c>
      <c r="H95" s="13">
        <v>0.61187665279577597</v>
      </c>
      <c r="I95" s="4"/>
    </row>
    <row r="96" spans="1:9" ht="14.25">
      <c r="A96" s="15" t="s">
        <v>140</v>
      </c>
      <c r="B96" s="16" t="s">
        <v>21</v>
      </c>
      <c r="C96" s="12" t="s">
        <v>22</v>
      </c>
      <c r="D96" s="17">
        <v>44235</v>
      </c>
      <c r="E96" s="13">
        <v>2</v>
      </c>
      <c r="F96" s="13">
        <v>0.86236623667253698</v>
      </c>
      <c r="G96" s="17">
        <v>45015</v>
      </c>
      <c r="H96" s="13">
        <v>0.56413054876588398</v>
      </c>
      <c r="I96" s="4"/>
    </row>
    <row r="97" spans="1:9" ht="14.25">
      <c r="A97" s="15" t="s">
        <v>141</v>
      </c>
      <c r="B97" s="16" t="s">
        <v>129</v>
      </c>
      <c r="C97" s="12" t="s">
        <v>22</v>
      </c>
      <c r="D97" s="17">
        <v>44774</v>
      </c>
      <c r="E97" s="13">
        <v>5</v>
      </c>
      <c r="F97" s="13">
        <v>0.309379274915278</v>
      </c>
      <c r="G97" s="17">
        <v>45015</v>
      </c>
      <c r="H97" s="13">
        <v>6.4512653240185102E-3</v>
      </c>
      <c r="I97" s="4"/>
    </row>
    <row r="98" spans="1:9" ht="14.25">
      <c r="A98" s="15" t="s">
        <v>142</v>
      </c>
      <c r="B98" s="16" t="s">
        <v>103</v>
      </c>
      <c r="C98" s="12" t="s">
        <v>104</v>
      </c>
      <c r="D98" s="17">
        <v>44396</v>
      </c>
      <c r="E98" s="13">
        <v>7</v>
      </c>
      <c r="F98" s="13">
        <v>0.55211790295911001</v>
      </c>
      <c r="G98" s="17">
        <v>45011</v>
      </c>
      <c r="H98" s="13">
        <v>0.33871055216854301</v>
      </c>
      <c r="I98" s="4"/>
    </row>
    <row r="99" spans="1:9" ht="14.25">
      <c r="A99" s="15" t="s">
        <v>143</v>
      </c>
      <c r="B99" s="16" t="s">
        <v>129</v>
      </c>
      <c r="C99" s="12" t="s">
        <v>22</v>
      </c>
      <c r="D99" s="17">
        <v>44491</v>
      </c>
      <c r="E99" s="13">
        <v>4</v>
      </c>
      <c r="F99" s="13">
        <v>0.20150989296011099</v>
      </c>
      <c r="G99" s="17">
        <v>45067</v>
      </c>
      <c r="H99" s="13">
        <v>0.23936851527945999</v>
      </c>
      <c r="I99" s="4"/>
    </row>
    <row r="100" spans="1:9" ht="14.25">
      <c r="A100" s="15" t="s">
        <v>144</v>
      </c>
      <c r="B100" s="16" t="s">
        <v>15</v>
      </c>
      <c r="C100" s="12" t="s">
        <v>10</v>
      </c>
      <c r="D100" s="17">
        <v>44534</v>
      </c>
      <c r="E100" s="13">
        <v>5</v>
      </c>
      <c r="F100" s="13">
        <v>0.18484009932934201</v>
      </c>
      <c r="G100" s="17">
        <v>44952</v>
      </c>
      <c r="H100" s="13">
        <v>0.17511595791935999</v>
      </c>
      <c r="I100" s="4"/>
    </row>
    <row r="101" spans="1:9" ht="14.25">
      <c r="A101" s="15" t="s">
        <v>145</v>
      </c>
      <c r="B101" s="16" t="s">
        <v>30</v>
      </c>
      <c r="C101" s="12" t="s">
        <v>31</v>
      </c>
      <c r="D101" s="17">
        <v>44872</v>
      </c>
      <c r="E101" s="13">
        <v>6</v>
      </c>
      <c r="F101" s="13">
        <v>0.34955930087119302</v>
      </c>
      <c r="G101" s="17">
        <v>44929</v>
      </c>
      <c r="H101" s="13">
        <v>0.53327527116873796</v>
      </c>
      <c r="I101" s="4"/>
    </row>
    <row r="102" spans="1:9" ht="14.25">
      <c r="A102" s="15" t="s">
        <v>146</v>
      </c>
      <c r="B102" s="16" t="s">
        <v>103</v>
      </c>
      <c r="C102" s="12" t="s">
        <v>104</v>
      </c>
      <c r="D102" s="17">
        <v>44468</v>
      </c>
      <c r="E102" s="13">
        <v>3</v>
      </c>
      <c r="F102" s="13">
        <v>0.93189165277683395</v>
      </c>
      <c r="G102" s="17">
        <v>44962</v>
      </c>
      <c r="H102" s="13">
        <v>2.43785689040747E-2</v>
      </c>
      <c r="I102" s="4"/>
    </row>
    <row r="103" spans="1:9" ht="14.25">
      <c r="A103" s="15" t="s">
        <v>147</v>
      </c>
      <c r="B103" s="16" t="s">
        <v>73</v>
      </c>
      <c r="C103" s="12" t="s">
        <v>74</v>
      </c>
      <c r="D103" s="17">
        <v>44921</v>
      </c>
      <c r="E103" s="13">
        <v>10</v>
      </c>
      <c r="F103" s="13">
        <v>0.68735083469695002</v>
      </c>
      <c r="G103" s="17">
        <v>44990</v>
      </c>
      <c r="H103" s="13">
        <v>0.41787841201432302</v>
      </c>
      <c r="I103" s="4"/>
    </row>
    <row r="104" spans="1:9" ht="14.25">
      <c r="A104" s="15" t="s">
        <v>148</v>
      </c>
      <c r="B104" s="16" t="s">
        <v>39</v>
      </c>
      <c r="C104" s="12" t="s">
        <v>40</v>
      </c>
      <c r="D104" s="17">
        <v>44605</v>
      </c>
      <c r="E104" s="13">
        <v>5</v>
      </c>
      <c r="F104" s="13">
        <v>0.17493546348643599</v>
      </c>
      <c r="G104" s="17">
        <v>45001</v>
      </c>
      <c r="H104" s="13">
        <v>0.83666855090333903</v>
      </c>
      <c r="I104" s="4"/>
    </row>
    <row r="105" spans="1:9" ht="14.25">
      <c r="A105" s="15" t="s">
        <v>149</v>
      </c>
      <c r="B105" s="16" t="s">
        <v>103</v>
      </c>
      <c r="C105" s="12" t="s">
        <v>104</v>
      </c>
      <c r="D105" s="17">
        <v>44659</v>
      </c>
      <c r="E105" s="13">
        <v>7</v>
      </c>
      <c r="F105" s="13">
        <v>0.75215132834364595</v>
      </c>
      <c r="G105" s="17">
        <v>45051</v>
      </c>
      <c r="H105" s="13">
        <v>2.6168363795351798E-2</v>
      </c>
      <c r="I105" s="4"/>
    </row>
    <row r="106" spans="1:9" ht="14.25">
      <c r="A106" s="15" t="s">
        <v>150</v>
      </c>
      <c r="B106" s="16" t="s">
        <v>39</v>
      </c>
      <c r="C106" s="12" t="s">
        <v>40</v>
      </c>
      <c r="D106" s="17">
        <v>44263</v>
      </c>
      <c r="E106" s="13">
        <v>1</v>
      </c>
      <c r="F106" s="13">
        <v>0.30953917056170199</v>
      </c>
      <c r="G106" s="17">
        <v>45058</v>
      </c>
      <c r="H106" s="13">
        <v>0.66043948995340296</v>
      </c>
      <c r="I106" s="4"/>
    </row>
    <row r="107" spans="1:9" ht="14.25">
      <c r="A107" s="15" t="s">
        <v>151</v>
      </c>
      <c r="B107" s="16" t="s">
        <v>61</v>
      </c>
      <c r="C107" s="12" t="s">
        <v>62</v>
      </c>
      <c r="D107" s="17">
        <v>44422</v>
      </c>
      <c r="E107" s="13">
        <v>10</v>
      </c>
      <c r="F107" s="13">
        <v>0.62147829765565299</v>
      </c>
      <c r="G107" s="17">
        <v>45045</v>
      </c>
      <c r="H107" s="13">
        <v>0.44466276095616802</v>
      </c>
      <c r="I107" s="4"/>
    </row>
    <row r="108" spans="1:9" ht="14.25">
      <c r="A108" s="15" t="s">
        <v>152</v>
      </c>
      <c r="B108" s="16" t="s">
        <v>58</v>
      </c>
      <c r="C108" s="12" t="s">
        <v>59</v>
      </c>
      <c r="D108" s="17">
        <v>44903</v>
      </c>
      <c r="E108" s="13">
        <v>7</v>
      </c>
      <c r="F108" s="13">
        <v>0.60752716500644899</v>
      </c>
      <c r="G108" s="17">
        <v>45029</v>
      </c>
      <c r="H108" s="13">
        <v>0.90286839870973001</v>
      </c>
      <c r="I108" s="4"/>
    </row>
    <row r="109" spans="1:9" ht="14.25">
      <c r="A109" s="15" t="s">
        <v>153</v>
      </c>
      <c r="B109" s="16" t="s">
        <v>46</v>
      </c>
      <c r="C109" s="12" t="s">
        <v>47</v>
      </c>
      <c r="D109" s="17">
        <v>44810</v>
      </c>
      <c r="E109" s="13">
        <v>10</v>
      </c>
      <c r="F109" s="13">
        <v>8.0126723415399101E-2</v>
      </c>
      <c r="G109" s="17">
        <v>44973</v>
      </c>
      <c r="H109" s="13">
        <v>0.51635999068168204</v>
      </c>
      <c r="I109" s="4"/>
    </row>
    <row r="110" spans="1:9" ht="14.25">
      <c r="A110" s="15" t="s">
        <v>154</v>
      </c>
      <c r="B110" s="16" t="s">
        <v>21</v>
      </c>
      <c r="C110" s="12" t="s">
        <v>22</v>
      </c>
      <c r="D110" s="17">
        <v>44716</v>
      </c>
      <c r="E110" s="13">
        <v>1</v>
      </c>
      <c r="F110" s="13">
        <v>0.165768699711766</v>
      </c>
      <c r="G110" s="17">
        <v>44958</v>
      </c>
      <c r="H110" s="13">
        <v>0.35219920122081899</v>
      </c>
      <c r="I110" s="4"/>
    </row>
    <row r="111" spans="1:9" ht="14.25">
      <c r="A111" s="15" t="s">
        <v>155</v>
      </c>
      <c r="B111" s="16" t="s">
        <v>58</v>
      </c>
      <c r="C111" s="12" t="s">
        <v>59</v>
      </c>
      <c r="D111" s="17">
        <v>44276</v>
      </c>
      <c r="E111" s="13">
        <v>7</v>
      </c>
      <c r="F111" s="13">
        <v>0.95038285910889397</v>
      </c>
      <c r="G111" s="17">
        <v>45067</v>
      </c>
      <c r="H111" s="13">
        <v>0.493774747227402</v>
      </c>
      <c r="I111" s="4"/>
    </row>
    <row r="112" spans="1:9" ht="14.25">
      <c r="A112" s="15" t="s">
        <v>156</v>
      </c>
      <c r="B112" s="16" t="s">
        <v>17</v>
      </c>
      <c r="C112" s="12" t="s">
        <v>18</v>
      </c>
      <c r="D112" s="17">
        <v>44709</v>
      </c>
      <c r="E112" s="13">
        <v>8</v>
      </c>
      <c r="F112" s="13">
        <v>0.34324624551472199</v>
      </c>
      <c r="G112" s="17">
        <v>44980</v>
      </c>
      <c r="H112" s="13">
        <v>5.5941217861464797E-2</v>
      </c>
      <c r="I112" s="4"/>
    </row>
    <row r="113" spans="1:9" ht="14.25">
      <c r="A113" s="15" t="s">
        <v>157</v>
      </c>
      <c r="B113" s="16" t="s">
        <v>58</v>
      </c>
      <c r="C113" s="12" t="s">
        <v>59</v>
      </c>
      <c r="D113" s="17">
        <v>44907</v>
      </c>
      <c r="E113" s="13">
        <v>9</v>
      </c>
      <c r="F113" s="13">
        <v>0.88394112549340798</v>
      </c>
      <c r="G113" s="17">
        <v>44949</v>
      </c>
      <c r="H113" s="13">
        <v>0.170650898099275</v>
      </c>
      <c r="I113" s="4"/>
    </row>
    <row r="114" spans="1:9" ht="14.25">
      <c r="A114" s="15" t="s">
        <v>158</v>
      </c>
      <c r="B114" s="16" t="s">
        <v>12</v>
      </c>
      <c r="C114" s="12" t="s">
        <v>13</v>
      </c>
      <c r="D114" s="17">
        <v>44578</v>
      </c>
      <c r="E114" s="13">
        <v>2</v>
      </c>
      <c r="F114" s="13">
        <v>0.19124266932346201</v>
      </c>
      <c r="G114" s="17">
        <v>44953</v>
      </c>
      <c r="H114" s="13">
        <v>0.44988838372928502</v>
      </c>
      <c r="I114" s="4"/>
    </row>
    <row r="115" spans="1:9" ht="14.25">
      <c r="A115" s="15" t="s">
        <v>159</v>
      </c>
      <c r="B115" s="16" t="s">
        <v>43</v>
      </c>
      <c r="C115" s="12" t="s">
        <v>44</v>
      </c>
      <c r="D115" s="17">
        <v>44324</v>
      </c>
      <c r="E115" s="13">
        <v>9</v>
      </c>
      <c r="F115" s="13">
        <v>0.70237024955138705</v>
      </c>
      <c r="G115" s="17">
        <v>45039</v>
      </c>
      <c r="H115" s="13">
        <v>0.23474526869976101</v>
      </c>
      <c r="I115" s="4"/>
    </row>
    <row r="116" spans="1:9" ht="14.25">
      <c r="A116" s="15" t="s">
        <v>160</v>
      </c>
      <c r="B116" s="16" t="s">
        <v>24</v>
      </c>
      <c r="C116" s="12" t="s">
        <v>25</v>
      </c>
      <c r="D116" s="17">
        <v>44464</v>
      </c>
      <c r="E116" s="13">
        <v>1</v>
      </c>
      <c r="F116" s="13">
        <v>0.47664293083306503</v>
      </c>
      <c r="G116" s="17">
        <v>44998</v>
      </c>
      <c r="H116" s="13">
        <v>0.23032087534575099</v>
      </c>
      <c r="I116" s="4"/>
    </row>
    <row r="117" spans="1:9" ht="14.25">
      <c r="A117" s="15" t="s">
        <v>161</v>
      </c>
      <c r="B117" s="16" t="s">
        <v>61</v>
      </c>
      <c r="C117" s="12" t="s">
        <v>62</v>
      </c>
      <c r="D117" s="17">
        <v>44581</v>
      </c>
      <c r="E117" s="13">
        <v>8</v>
      </c>
      <c r="F117" s="13">
        <v>0.52894618812607497</v>
      </c>
      <c r="G117" s="17">
        <v>44998</v>
      </c>
      <c r="H117" s="13">
        <v>0.14894391596640999</v>
      </c>
      <c r="I117" s="4"/>
    </row>
    <row r="118" spans="1:9" ht="14.25">
      <c r="A118" s="15" t="s">
        <v>162</v>
      </c>
      <c r="B118" s="16" t="s">
        <v>103</v>
      </c>
      <c r="C118" s="12" t="s">
        <v>104</v>
      </c>
      <c r="D118" s="17">
        <v>44595</v>
      </c>
      <c r="E118" s="13">
        <v>1</v>
      </c>
      <c r="F118" s="13">
        <v>0.90771622925444195</v>
      </c>
      <c r="G118" s="17">
        <v>44956</v>
      </c>
      <c r="H118" s="13">
        <v>0.76439006848756197</v>
      </c>
      <c r="I118" s="4"/>
    </row>
    <row r="119" spans="1:9" ht="14.25">
      <c r="A119" s="15" t="s">
        <v>163</v>
      </c>
      <c r="B119" s="16" t="s">
        <v>54</v>
      </c>
      <c r="C119" s="12" t="s">
        <v>55</v>
      </c>
      <c r="D119" s="17">
        <v>44625</v>
      </c>
      <c r="E119" s="13">
        <v>4</v>
      </c>
      <c r="F119" s="13">
        <v>0.93532778717298004</v>
      </c>
      <c r="G119" s="17">
        <v>44933</v>
      </c>
      <c r="H119" s="13">
        <v>2.9378328012187802E-2</v>
      </c>
      <c r="I119" s="4"/>
    </row>
    <row r="120" spans="1:9" ht="14.25">
      <c r="A120" s="15" t="s">
        <v>164</v>
      </c>
      <c r="B120" s="16" t="s">
        <v>9</v>
      </c>
      <c r="C120" s="12" t="s">
        <v>10</v>
      </c>
      <c r="D120" s="17">
        <v>44801</v>
      </c>
      <c r="E120" s="13">
        <v>6</v>
      </c>
      <c r="F120" s="13">
        <v>0.103932010083317</v>
      </c>
      <c r="G120" s="17">
        <v>44985</v>
      </c>
      <c r="H120" s="14">
        <v>6.0761804468123501E-5</v>
      </c>
      <c r="I120" s="4"/>
    </row>
    <row r="121" spans="1:9" ht="14.25">
      <c r="A121" s="15" t="s">
        <v>165</v>
      </c>
      <c r="B121" s="16" t="s">
        <v>15</v>
      </c>
      <c r="C121" s="12" t="s">
        <v>10</v>
      </c>
      <c r="D121" s="17">
        <v>44589</v>
      </c>
      <c r="E121" s="13">
        <v>3</v>
      </c>
      <c r="F121" s="13">
        <v>0.33696098865178298</v>
      </c>
      <c r="G121" s="17">
        <v>45034</v>
      </c>
      <c r="H121" s="13">
        <v>0.68587611661549097</v>
      </c>
      <c r="I121" s="4"/>
    </row>
    <row r="122" spans="1:9" ht="14.25">
      <c r="A122" s="15" t="s">
        <v>166</v>
      </c>
      <c r="B122" s="16" t="s">
        <v>46</v>
      </c>
      <c r="C122" s="12" t="s">
        <v>47</v>
      </c>
      <c r="D122" s="17">
        <v>44733</v>
      </c>
      <c r="E122" s="13">
        <v>9</v>
      </c>
      <c r="F122" s="13">
        <v>0.32825674154548301</v>
      </c>
      <c r="G122" s="17">
        <v>44981</v>
      </c>
      <c r="H122" s="13">
        <v>0.48045519677837101</v>
      </c>
      <c r="I122" s="4"/>
    </row>
    <row r="123" spans="1:9" ht="14.25">
      <c r="A123" s="15" t="s">
        <v>167</v>
      </c>
      <c r="B123" s="16" t="s">
        <v>17</v>
      </c>
      <c r="C123" s="12" t="s">
        <v>18</v>
      </c>
      <c r="D123" s="17">
        <v>44879</v>
      </c>
      <c r="E123" s="13">
        <v>10</v>
      </c>
      <c r="F123" s="13">
        <v>0.47307005712237998</v>
      </c>
      <c r="G123" s="17">
        <v>44937</v>
      </c>
      <c r="H123" s="13">
        <v>0.10169187940690801</v>
      </c>
      <c r="I123" s="4"/>
    </row>
    <row r="124" spans="1:9" ht="14.25">
      <c r="A124" s="15" t="s">
        <v>168</v>
      </c>
      <c r="B124" s="16" t="s">
        <v>34</v>
      </c>
      <c r="C124" s="12" t="s">
        <v>35</v>
      </c>
      <c r="D124" s="17">
        <v>44371</v>
      </c>
      <c r="E124" s="13">
        <v>9</v>
      </c>
      <c r="F124" s="13">
        <v>0.71248835178386805</v>
      </c>
      <c r="G124" s="17">
        <v>44975</v>
      </c>
      <c r="H124" s="13">
        <v>0.42914106932160101</v>
      </c>
      <c r="I124" s="4"/>
    </row>
    <row r="125" spans="1:9" ht="14.25">
      <c r="A125" s="15" t="s">
        <v>169</v>
      </c>
      <c r="B125" s="16" t="s">
        <v>27</v>
      </c>
      <c r="C125" s="12" t="s">
        <v>28</v>
      </c>
      <c r="D125" s="17">
        <v>44792</v>
      </c>
      <c r="E125" s="13">
        <v>1</v>
      </c>
      <c r="F125" s="13">
        <v>0.87147093954098998</v>
      </c>
      <c r="G125" s="17">
        <v>44967</v>
      </c>
      <c r="H125" s="13">
        <v>0.35443622359295701</v>
      </c>
      <c r="I125" s="4"/>
    </row>
    <row r="126" spans="1:9" ht="14.25">
      <c r="A126" s="15" t="s">
        <v>170</v>
      </c>
      <c r="B126" s="16" t="s">
        <v>12</v>
      </c>
      <c r="C126" s="12" t="s">
        <v>13</v>
      </c>
      <c r="D126" s="17">
        <v>44272</v>
      </c>
      <c r="E126" s="13">
        <v>6</v>
      </c>
      <c r="F126" s="13">
        <v>5.4464754581670202E-2</v>
      </c>
      <c r="G126" s="17">
        <v>45013</v>
      </c>
      <c r="H126" s="13">
        <v>0.49434155447053002</v>
      </c>
      <c r="I126" s="4"/>
    </row>
    <row r="127" spans="1:9" ht="14.25">
      <c r="A127" s="15" t="s">
        <v>171</v>
      </c>
      <c r="B127" s="16" t="s">
        <v>103</v>
      </c>
      <c r="C127" s="12" t="s">
        <v>104</v>
      </c>
      <c r="D127" s="17">
        <v>44886</v>
      </c>
      <c r="E127" s="13">
        <v>8</v>
      </c>
      <c r="F127" s="13">
        <v>0.46539821567982897</v>
      </c>
      <c r="G127" s="17">
        <v>45038</v>
      </c>
      <c r="H127" s="13">
        <v>0.39766402949830199</v>
      </c>
      <c r="I127" s="4"/>
    </row>
    <row r="128" spans="1:9" ht="14.25">
      <c r="A128" s="15" t="s">
        <v>172</v>
      </c>
      <c r="B128" s="16" t="s">
        <v>58</v>
      </c>
      <c r="C128" s="12" t="s">
        <v>59</v>
      </c>
      <c r="D128" s="17">
        <v>44380</v>
      </c>
      <c r="E128" s="13">
        <v>2</v>
      </c>
      <c r="F128" s="13">
        <v>0.41769016811982401</v>
      </c>
      <c r="G128" s="17">
        <v>44990</v>
      </c>
      <c r="H128" s="13">
        <v>0.67060305745283799</v>
      </c>
      <c r="I128" s="4"/>
    </row>
    <row r="129" spans="1:9" ht="14.25">
      <c r="A129" s="15" t="s">
        <v>173</v>
      </c>
      <c r="B129" s="16" t="s">
        <v>46</v>
      </c>
      <c r="C129" s="12" t="s">
        <v>47</v>
      </c>
      <c r="D129" s="17">
        <v>44661</v>
      </c>
      <c r="E129" s="13">
        <v>5</v>
      </c>
      <c r="F129" s="13">
        <v>0.90898321519765801</v>
      </c>
      <c r="G129" s="17">
        <v>45067</v>
      </c>
      <c r="H129" s="13">
        <v>0.71076510162728801</v>
      </c>
      <c r="I129" s="4"/>
    </row>
    <row r="130" spans="1:9" ht="14.25">
      <c r="A130" s="15" t="s">
        <v>174</v>
      </c>
      <c r="B130" s="16" t="s">
        <v>103</v>
      </c>
      <c r="C130" s="12" t="s">
        <v>104</v>
      </c>
      <c r="D130" s="17">
        <v>44297</v>
      </c>
      <c r="E130" s="13">
        <v>2</v>
      </c>
      <c r="F130" s="13">
        <v>2.2277472344418001E-2</v>
      </c>
      <c r="G130" s="17">
        <v>45053</v>
      </c>
      <c r="H130" s="13">
        <v>0.31572522679826798</v>
      </c>
      <c r="I130" s="4"/>
    </row>
    <row r="131" spans="1:9" ht="14.25">
      <c r="A131" s="15" t="s">
        <v>175</v>
      </c>
      <c r="B131" s="16" t="s">
        <v>15</v>
      </c>
      <c r="C131" s="12" t="s">
        <v>10</v>
      </c>
      <c r="D131" s="17">
        <v>44223</v>
      </c>
      <c r="E131" s="13">
        <v>10</v>
      </c>
      <c r="F131" s="13">
        <v>4.84656763549157E-2</v>
      </c>
      <c r="G131" s="17">
        <v>45041</v>
      </c>
      <c r="H131" s="13">
        <v>0.76568330987062005</v>
      </c>
      <c r="I131" s="4"/>
    </row>
    <row r="132" spans="1:9" ht="14.25">
      <c r="A132" s="15" t="s">
        <v>176</v>
      </c>
      <c r="B132" s="16" t="s">
        <v>73</v>
      </c>
      <c r="C132" s="12" t="s">
        <v>74</v>
      </c>
      <c r="D132" s="17">
        <v>44616</v>
      </c>
      <c r="E132" s="13">
        <v>10</v>
      </c>
      <c r="F132" s="13">
        <v>0.29076178482231801</v>
      </c>
      <c r="G132" s="17">
        <v>44945</v>
      </c>
      <c r="H132" s="13">
        <v>0.33143123502147698</v>
      </c>
      <c r="I132" s="4"/>
    </row>
    <row r="133" spans="1:9" ht="14.25">
      <c r="A133" s="15" t="s">
        <v>177</v>
      </c>
      <c r="B133" s="16" t="s">
        <v>81</v>
      </c>
      <c r="C133" s="12" t="s">
        <v>62</v>
      </c>
      <c r="D133" s="17">
        <v>44398</v>
      </c>
      <c r="E133" s="13">
        <v>6</v>
      </c>
      <c r="F133" s="13">
        <v>0.74483031602755301</v>
      </c>
      <c r="G133" s="17">
        <v>45067</v>
      </c>
      <c r="H133" s="13">
        <v>0.45618689536000101</v>
      </c>
      <c r="I133" s="4"/>
    </row>
    <row r="134" spans="1:9" ht="14.25">
      <c r="A134" s="15" t="s">
        <v>178</v>
      </c>
      <c r="B134" s="16" t="s">
        <v>30</v>
      </c>
      <c r="C134" s="12" t="s">
        <v>31</v>
      </c>
      <c r="D134" s="17">
        <v>44244</v>
      </c>
      <c r="E134" s="13">
        <v>2</v>
      </c>
      <c r="F134" s="13">
        <v>0.55145811024395297</v>
      </c>
      <c r="G134" s="17">
        <v>44938</v>
      </c>
      <c r="H134" s="13">
        <v>0.43942741221319298</v>
      </c>
      <c r="I134" s="4"/>
    </row>
    <row r="135" spans="1:9" ht="14.25">
      <c r="A135" s="15" t="s">
        <v>179</v>
      </c>
      <c r="B135" s="16" t="s">
        <v>34</v>
      </c>
      <c r="C135" s="12" t="s">
        <v>35</v>
      </c>
      <c r="D135" s="17">
        <v>44715</v>
      </c>
      <c r="E135" s="13">
        <v>2</v>
      </c>
      <c r="F135" s="13">
        <v>0.75204781971908696</v>
      </c>
      <c r="G135" s="17">
        <v>45016</v>
      </c>
      <c r="H135" s="13">
        <v>0.46296822834011098</v>
      </c>
      <c r="I135" s="4"/>
    </row>
    <row r="136" spans="1:9" ht="14.25">
      <c r="A136" s="15" t="s">
        <v>180</v>
      </c>
      <c r="B136" s="16" t="s">
        <v>61</v>
      </c>
      <c r="C136" s="12" t="s">
        <v>62</v>
      </c>
      <c r="D136" s="17">
        <v>44225</v>
      </c>
      <c r="E136" s="13">
        <v>7</v>
      </c>
      <c r="F136" s="13">
        <v>0.47691846634392299</v>
      </c>
      <c r="G136" s="17">
        <v>44981</v>
      </c>
      <c r="H136" s="13">
        <v>0.46204966570717498</v>
      </c>
      <c r="I136" s="4"/>
    </row>
    <row r="137" spans="1:9" ht="14.25">
      <c r="A137" s="15" t="s">
        <v>181</v>
      </c>
      <c r="B137" s="16" t="s">
        <v>129</v>
      </c>
      <c r="C137" s="12" t="s">
        <v>22</v>
      </c>
      <c r="D137" s="17">
        <v>44442</v>
      </c>
      <c r="E137" s="13">
        <v>9</v>
      </c>
      <c r="F137" s="13">
        <v>0.351563700735118</v>
      </c>
      <c r="G137" s="17">
        <v>45023</v>
      </c>
      <c r="H137" s="13">
        <v>0.95442216883254405</v>
      </c>
      <c r="I137" s="4"/>
    </row>
    <row r="138" spans="1:9" ht="14.25">
      <c r="A138" s="15" t="s">
        <v>182</v>
      </c>
      <c r="B138" s="16" t="s">
        <v>34</v>
      </c>
      <c r="C138" s="12" t="s">
        <v>35</v>
      </c>
      <c r="D138" s="17">
        <v>44878</v>
      </c>
      <c r="E138" s="13">
        <v>3</v>
      </c>
      <c r="F138" s="13">
        <v>0.708252824575899</v>
      </c>
      <c r="G138" s="17">
        <v>45047</v>
      </c>
      <c r="H138" s="13">
        <v>0.25743349659995701</v>
      </c>
      <c r="I138" s="4"/>
    </row>
    <row r="139" spans="1:9" ht="14.25">
      <c r="A139" s="15" t="s">
        <v>183</v>
      </c>
      <c r="B139" s="16" t="s">
        <v>54</v>
      </c>
      <c r="C139" s="12" t="s">
        <v>55</v>
      </c>
      <c r="D139" s="17">
        <v>44535</v>
      </c>
      <c r="E139" s="13">
        <v>6</v>
      </c>
      <c r="F139" s="13">
        <v>8.1168066351901699E-2</v>
      </c>
      <c r="G139" s="17">
        <v>45004</v>
      </c>
      <c r="H139" s="13">
        <v>0.51544985308443603</v>
      </c>
      <c r="I139" s="4"/>
    </row>
    <row r="140" spans="1:9" ht="14.25">
      <c r="A140" s="15" t="s">
        <v>184</v>
      </c>
      <c r="B140" s="16" t="s">
        <v>73</v>
      </c>
      <c r="C140" s="12" t="s">
        <v>74</v>
      </c>
      <c r="D140" s="17">
        <v>44815</v>
      </c>
      <c r="E140" s="13">
        <v>3</v>
      </c>
      <c r="F140" s="13">
        <v>0.44727279397540398</v>
      </c>
      <c r="G140" s="17">
        <v>44961</v>
      </c>
      <c r="H140" s="13">
        <v>0.72124646028638995</v>
      </c>
      <c r="I140" s="4"/>
    </row>
    <row r="141" spans="1:9" ht="14.25">
      <c r="A141" s="15" t="s">
        <v>185</v>
      </c>
      <c r="B141" s="16" t="s">
        <v>30</v>
      </c>
      <c r="C141" s="12" t="s">
        <v>31</v>
      </c>
      <c r="D141" s="17">
        <v>44690</v>
      </c>
      <c r="E141" s="13">
        <v>5</v>
      </c>
      <c r="F141" s="13">
        <v>0.55996144918041602</v>
      </c>
      <c r="G141" s="17">
        <v>44982</v>
      </c>
      <c r="H141" s="13">
        <v>4.0845294204603297E-3</v>
      </c>
      <c r="I141" s="4"/>
    </row>
    <row r="142" spans="1:9" ht="14.25">
      <c r="A142" s="15" t="s">
        <v>186</v>
      </c>
      <c r="B142" s="16" t="s">
        <v>129</v>
      </c>
      <c r="C142" s="12" t="s">
        <v>22</v>
      </c>
      <c r="D142" s="17">
        <v>44521</v>
      </c>
      <c r="E142" s="13">
        <v>4</v>
      </c>
      <c r="F142" s="13">
        <v>0.56230632063577901</v>
      </c>
      <c r="G142" s="17">
        <v>45060</v>
      </c>
      <c r="H142" s="13">
        <v>0.68743114384612203</v>
      </c>
      <c r="I142" s="4"/>
    </row>
    <row r="143" spans="1:9" ht="14.25">
      <c r="A143" s="15" t="s">
        <v>187</v>
      </c>
      <c r="B143" s="16" t="s">
        <v>30</v>
      </c>
      <c r="C143" s="12" t="s">
        <v>31</v>
      </c>
      <c r="D143" s="17">
        <v>44769</v>
      </c>
      <c r="E143" s="13">
        <v>5</v>
      </c>
      <c r="F143" s="13">
        <v>0.72618042932337601</v>
      </c>
      <c r="G143" s="17">
        <v>45013</v>
      </c>
      <c r="H143" s="13">
        <v>0.31138195774945998</v>
      </c>
      <c r="I143" s="4"/>
    </row>
    <row r="144" spans="1:9" ht="14.25">
      <c r="A144" s="15" t="s">
        <v>188</v>
      </c>
      <c r="B144" s="16" t="s">
        <v>71</v>
      </c>
      <c r="C144" s="12" t="s">
        <v>50</v>
      </c>
      <c r="D144" s="17">
        <v>44206</v>
      </c>
      <c r="E144" s="13">
        <v>3</v>
      </c>
      <c r="F144" s="13">
        <v>0.113699112632604</v>
      </c>
      <c r="G144" s="17">
        <v>45012</v>
      </c>
      <c r="H144" s="13">
        <v>3.0869795040312301E-2</v>
      </c>
      <c r="I144" s="4"/>
    </row>
    <row r="145" spans="1:9" ht="14.25">
      <c r="A145" s="15" t="s">
        <v>189</v>
      </c>
      <c r="B145" s="16" t="s">
        <v>129</v>
      </c>
      <c r="C145" s="12" t="s">
        <v>22</v>
      </c>
      <c r="D145" s="17">
        <v>44822</v>
      </c>
      <c r="E145" s="13">
        <v>1</v>
      </c>
      <c r="F145" s="13">
        <v>8.6409222229514596E-2</v>
      </c>
      <c r="G145" s="17">
        <v>44945</v>
      </c>
      <c r="H145" s="13">
        <v>0.720395287309052</v>
      </c>
      <c r="I145" s="4"/>
    </row>
    <row r="146" spans="1:9" ht="14.25">
      <c r="A146" s="15" t="s">
        <v>190</v>
      </c>
      <c r="B146" s="16" t="s">
        <v>71</v>
      </c>
      <c r="C146" s="12" t="s">
        <v>50</v>
      </c>
      <c r="D146" s="17">
        <v>44484</v>
      </c>
      <c r="E146" s="13">
        <v>4</v>
      </c>
      <c r="F146" s="13">
        <v>0.573839853564304</v>
      </c>
      <c r="G146" s="17">
        <v>45050</v>
      </c>
      <c r="H146" s="13">
        <v>0.74143260510805697</v>
      </c>
      <c r="I146" s="4"/>
    </row>
    <row r="147" spans="1:9" ht="14.25">
      <c r="A147" s="15" t="s">
        <v>191</v>
      </c>
      <c r="B147" s="16" t="s">
        <v>27</v>
      </c>
      <c r="C147" s="12" t="s">
        <v>28</v>
      </c>
      <c r="D147" s="17">
        <v>44734</v>
      </c>
      <c r="E147" s="13">
        <v>10</v>
      </c>
      <c r="F147" s="13">
        <v>5.8312359538940997E-2</v>
      </c>
      <c r="G147" s="17">
        <v>45041</v>
      </c>
      <c r="H147" s="13">
        <v>0.50418526458823998</v>
      </c>
      <c r="I147" s="4"/>
    </row>
    <row r="148" spans="1:9" ht="14.25">
      <c r="A148" s="15" t="s">
        <v>192</v>
      </c>
      <c r="B148" s="16" t="s">
        <v>54</v>
      </c>
      <c r="C148" s="12" t="s">
        <v>55</v>
      </c>
      <c r="D148" s="17">
        <v>44480</v>
      </c>
      <c r="E148" s="13">
        <v>7</v>
      </c>
      <c r="F148" s="13">
        <v>0.717702757066082</v>
      </c>
      <c r="G148" s="17">
        <v>44936</v>
      </c>
      <c r="H148" s="13">
        <v>0.1182538345041</v>
      </c>
      <c r="I148" s="4"/>
    </row>
    <row r="149" spans="1:9" ht="14.25">
      <c r="A149" s="15" t="s">
        <v>193</v>
      </c>
      <c r="B149" s="16" t="s">
        <v>24</v>
      </c>
      <c r="C149" s="12" t="s">
        <v>25</v>
      </c>
      <c r="D149" s="17">
        <v>44534</v>
      </c>
      <c r="E149" s="13">
        <v>1</v>
      </c>
      <c r="F149" s="13">
        <v>0.29181649358212502</v>
      </c>
      <c r="G149" s="17">
        <v>44944</v>
      </c>
      <c r="H149" s="13">
        <v>0.59525600260086198</v>
      </c>
      <c r="I149" s="4"/>
    </row>
    <row r="150" spans="1:9" ht="14.25">
      <c r="A150" s="15" t="s">
        <v>194</v>
      </c>
      <c r="B150" s="16" t="s">
        <v>58</v>
      </c>
      <c r="C150" s="12" t="s">
        <v>59</v>
      </c>
      <c r="D150" s="17">
        <v>44616</v>
      </c>
      <c r="E150" s="13">
        <v>7</v>
      </c>
      <c r="F150" s="13">
        <v>0.41475447056245102</v>
      </c>
      <c r="G150" s="17">
        <v>44992</v>
      </c>
      <c r="H150" s="13">
        <v>0.41302964862980401</v>
      </c>
      <c r="I150" s="4"/>
    </row>
    <row r="151" spans="1:9" ht="14.25">
      <c r="A151" s="15" t="s">
        <v>195</v>
      </c>
      <c r="B151" s="16" t="s">
        <v>12</v>
      </c>
      <c r="C151" s="12" t="s">
        <v>13</v>
      </c>
      <c r="D151" s="17">
        <v>44766</v>
      </c>
      <c r="E151" s="13">
        <v>3</v>
      </c>
      <c r="F151" s="13">
        <v>0.273622029983696</v>
      </c>
      <c r="G151" s="17">
        <v>45026</v>
      </c>
      <c r="H151" s="13">
        <v>0.28004873586635498</v>
      </c>
      <c r="I151" s="4"/>
    </row>
    <row r="152" spans="1:9" ht="14.25">
      <c r="A152" s="15" t="s">
        <v>196</v>
      </c>
      <c r="B152" s="16" t="s">
        <v>103</v>
      </c>
      <c r="C152" s="12" t="s">
        <v>104</v>
      </c>
      <c r="D152" s="17">
        <v>44857</v>
      </c>
      <c r="E152" s="13">
        <v>5</v>
      </c>
      <c r="F152" s="13">
        <v>0.36944159210677702</v>
      </c>
      <c r="G152" s="17">
        <v>44944</v>
      </c>
      <c r="H152" s="13">
        <v>0.83598479662907399</v>
      </c>
      <c r="I152" s="4"/>
    </row>
    <row r="153" spans="1:9" ht="14.25">
      <c r="A153" s="15" t="s">
        <v>197</v>
      </c>
      <c r="B153" s="16" t="s">
        <v>103</v>
      </c>
      <c r="C153" s="12" t="s">
        <v>104</v>
      </c>
      <c r="D153" s="17">
        <v>44607</v>
      </c>
      <c r="E153" s="13">
        <v>1</v>
      </c>
      <c r="F153" s="13">
        <v>0.58311714000128001</v>
      </c>
      <c r="G153" s="17">
        <v>44986</v>
      </c>
      <c r="H153" s="13">
        <v>0.132094119226041</v>
      </c>
      <c r="I153" s="4"/>
    </row>
    <row r="154" spans="1:9" ht="14.25">
      <c r="A154" s="15" t="s">
        <v>198</v>
      </c>
      <c r="B154" s="16" t="s">
        <v>34</v>
      </c>
      <c r="C154" s="12" t="s">
        <v>35</v>
      </c>
      <c r="D154" s="17">
        <v>44312</v>
      </c>
      <c r="E154" s="13">
        <v>6</v>
      </c>
      <c r="F154" s="13">
        <v>0.65300297719761102</v>
      </c>
      <c r="G154" s="17">
        <v>45013</v>
      </c>
      <c r="H154" s="13">
        <v>0.67542025364515701</v>
      </c>
      <c r="I154" s="4"/>
    </row>
    <row r="155" spans="1:9" ht="14.25">
      <c r="A155" s="15" t="s">
        <v>199</v>
      </c>
      <c r="B155" s="16" t="s">
        <v>71</v>
      </c>
      <c r="C155" s="12" t="s">
        <v>50</v>
      </c>
      <c r="D155" s="17">
        <v>44684</v>
      </c>
      <c r="E155" s="13">
        <v>8</v>
      </c>
      <c r="F155" s="13">
        <v>0.29111039384551202</v>
      </c>
      <c r="G155" s="17">
        <v>45003</v>
      </c>
      <c r="H155" s="13">
        <v>0.67736656660512595</v>
      </c>
      <c r="I155" s="4"/>
    </row>
    <row r="156" spans="1:9" ht="14.25">
      <c r="A156" s="15" t="s">
        <v>200</v>
      </c>
      <c r="B156" s="16" t="s">
        <v>71</v>
      </c>
      <c r="C156" s="12" t="s">
        <v>50</v>
      </c>
      <c r="D156" s="17">
        <v>44240</v>
      </c>
      <c r="E156" s="13">
        <v>4</v>
      </c>
      <c r="F156" s="13">
        <v>0.112536236136402</v>
      </c>
      <c r="G156" s="17">
        <v>45051</v>
      </c>
      <c r="H156" s="13">
        <v>0.73892418680528005</v>
      </c>
      <c r="I156" s="4"/>
    </row>
    <row r="157" spans="1:9" ht="14.25">
      <c r="A157" s="15" t="s">
        <v>201</v>
      </c>
      <c r="B157" s="16" t="s">
        <v>34</v>
      </c>
      <c r="C157" s="12" t="s">
        <v>35</v>
      </c>
      <c r="D157" s="17">
        <v>44579</v>
      </c>
      <c r="E157" s="13">
        <v>9</v>
      </c>
      <c r="F157" s="13">
        <v>0.15192205963339001</v>
      </c>
      <c r="G157" s="17">
        <v>44999</v>
      </c>
      <c r="H157" s="13">
        <v>0.20150857478536399</v>
      </c>
      <c r="I157" s="4"/>
    </row>
    <row r="158" spans="1:9" ht="14.25">
      <c r="A158" s="15" t="s">
        <v>202</v>
      </c>
      <c r="B158" s="16" t="s">
        <v>103</v>
      </c>
      <c r="C158" s="12" t="s">
        <v>104</v>
      </c>
      <c r="D158" s="17">
        <v>44830</v>
      </c>
      <c r="E158" s="13">
        <v>2</v>
      </c>
      <c r="F158" s="13">
        <v>0.28151547287029699</v>
      </c>
      <c r="G158" s="17">
        <v>44971</v>
      </c>
      <c r="H158" s="13">
        <v>0.112845737208008</v>
      </c>
      <c r="I158" s="4"/>
    </row>
    <row r="159" spans="1:9" ht="14.25">
      <c r="A159" s="15" t="s">
        <v>203</v>
      </c>
      <c r="B159" s="16" t="s">
        <v>9</v>
      </c>
      <c r="C159" s="12" t="s">
        <v>10</v>
      </c>
      <c r="D159" s="17">
        <v>44580</v>
      </c>
      <c r="E159" s="13">
        <v>2</v>
      </c>
      <c r="F159" s="13">
        <v>0.47294292208057698</v>
      </c>
      <c r="G159" s="17">
        <v>45023</v>
      </c>
      <c r="H159" s="13">
        <v>0.79212265204075905</v>
      </c>
      <c r="I159" s="4"/>
    </row>
    <row r="160" spans="1:9" ht="14.25">
      <c r="A160" s="15" t="s">
        <v>204</v>
      </c>
      <c r="B160" s="16" t="s">
        <v>9</v>
      </c>
      <c r="C160" s="12" t="s">
        <v>10</v>
      </c>
      <c r="D160" s="17">
        <v>44605</v>
      </c>
      <c r="E160" s="13">
        <v>2</v>
      </c>
      <c r="F160" s="13">
        <v>0.95827680251471803</v>
      </c>
      <c r="G160" s="17">
        <v>45009</v>
      </c>
      <c r="H160" s="13">
        <v>0.89660265479322399</v>
      </c>
      <c r="I160" s="4"/>
    </row>
    <row r="161" spans="1:9" ht="14.25">
      <c r="A161" s="15" t="s">
        <v>205</v>
      </c>
      <c r="B161" s="16" t="s">
        <v>39</v>
      </c>
      <c r="C161" s="12" t="s">
        <v>40</v>
      </c>
      <c r="D161" s="17">
        <v>44604</v>
      </c>
      <c r="E161" s="13">
        <v>2</v>
      </c>
      <c r="F161" s="13">
        <v>0.27963347908695002</v>
      </c>
      <c r="G161" s="17">
        <v>44949</v>
      </c>
      <c r="H161" s="13">
        <v>0.24854191017697499</v>
      </c>
      <c r="I161" s="4"/>
    </row>
    <row r="162" spans="1:9" ht="14.25">
      <c r="A162" s="15" t="s">
        <v>206</v>
      </c>
      <c r="B162" s="16" t="s">
        <v>61</v>
      </c>
      <c r="C162" s="12" t="s">
        <v>62</v>
      </c>
      <c r="D162" s="17">
        <v>44257</v>
      </c>
      <c r="E162" s="13">
        <v>8</v>
      </c>
      <c r="F162" s="13">
        <v>0.434644149591145</v>
      </c>
      <c r="G162" s="17">
        <v>44955</v>
      </c>
      <c r="H162" s="13">
        <v>0.625342854199327</v>
      </c>
      <c r="I162" s="4"/>
    </row>
    <row r="163" spans="1:9" ht="14.25">
      <c r="A163" s="15" t="s">
        <v>207</v>
      </c>
      <c r="B163" s="16" t="s">
        <v>49</v>
      </c>
      <c r="C163" s="12" t="s">
        <v>50</v>
      </c>
      <c r="D163" s="17">
        <v>44745</v>
      </c>
      <c r="E163" s="13">
        <v>5</v>
      </c>
      <c r="F163" s="13">
        <v>0.74838580953710099</v>
      </c>
      <c r="G163" s="17">
        <v>44980</v>
      </c>
      <c r="H163" s="13">
        <v>0.56239389347784197</v>
      </c>
      <c r="I163" s="4"/>
    </row>
    <row r="164" spans="1:9" ht="14.25">
      <c r="A164" s="15" t="s">
        <v>208</v>
      </c>
      <c r="B164" s="16" t="s">
        <v>30</v>
      </c>
      <c r="C164" s="12" t="s">
        <v>31</v>
      </c>
      <c r="D164" s="17">
        <v>44916</v>
      </c>
      <c r="E164" s="13">
        <v>6</v>
      </c>
      <c r="F164" s="13">
        <v>0.48045901029779903</v>
      </c>
      <c r="G164" s="17">
        <v>45064</v>
      </c>
      <c r="H164" s="13">
        <v>0.433788778732414</v>
      </c>
      <c r="I164" s="4"/>
    </row>
    <row r="165" spans="1:9" ht="14.25">
      <c r="A165" s="15" t="s">
        <v>209</v>
      </c>
      <c r="B165" s="16" t="s">
        <v>58</v>
      </c>
      <c r="C165" s="12" t="s">
        <v>59</v>
      </c>
      <c r="D165" s="17">
        <v>44354</v>
      </c>
      <c r="E165" s="13">
        <v>7</v>
      </c>
      <c r="F165" s="13">
        <v>0.98744929724646802</v>
      </c>
      <c r="G165" s="17">
        <v>45049</v>
      </c>
      <c r="H165" s="13">
        <v>0.21163360381443899</v>
      </c>
      <c r="I165" s="4"/>
    </row>
    <row r="166" spans="1:9" ht="14.25">
      <c r="A166" s="15" t="s">
        <v>210</v>
      </c>
      <c r="B166" s="16" t="s">
        <v>9</v>
      </c>
      <c r="C166" s="12" t="s">
        <v>10</v>
      </c>
      <c r="D166" s="17">
        <v>44711</v>
      </c>
      <c r="E166" s="13">
        <v>3</v>
      </c>
      <c r="F166" s="13">
        <v>5.2479096578398297E-2</v>
      </c>
      <c r="G166" s="17">
        <v>45069</v>
      </c>
      <c r="H166" s="13">
        <v>5.8390055671951401E-2</v>
      </c>
      <c r="I166" s="4"/>
    </row>
    <row r="167" spans="1:9" ht="14.25">
      <c r="A167" s="15" t="s">
        <v>211</v>
      </c>
      <c r="B167" s="16" t="s">
        <v>49</v>
      </c>
      <c r="C167" s="12" t="s">
        <v>50</v>
      </c>
      <c r="D167" s="17">
        <v>44801</v>
      </c>
      <c r="E167" s="13">
        <v>4</v>
      </c>
      <c r="F167" s="13">
        <v>6.3638338964366797E-2</v>
      </c>
      <c r="G167" s="17">
        <v>45014</v>
      </c>
      <c r="H167" s="13">
        <v>0.82222519151117301</v>
      </c>
      <c r="I167" s="4"/>
    </row>
    <row r="168" spans="1:9" ht="14.25">
      <c r="A168" s="15" t="s">
        <v>212</v>
      </c>
      <c r="B168" s="16" t="s">
        <v>21</v>
      </c>
      <c r="C168" s="12" t="s">
        <v>22</v>
      </c>
      <c r="D168" s="17">
        <v>44515</v>
      </c>
      <c r="E168" s="13">
        <v>3</v>
      </c>
      <c r="F168" s="13">
        <v>7.0327700844507193E-2</v>
      </c>
      <c r="G168" s="17">
        <v>44974</v>
      </c>
      <c r="H168" s="13">
        <v>9.4112460113233404E-2</v>
      </c>
      <c r="I168" s="4"/>
    </row>
    <row r="169" spans="1:9" ht="14.25">
      <c r="A169" s="15" t="s">
        <v>213</v>
      </c>
      <c r="B169" s="16" t="s">
        <v>81</v>
      </c>
      <c r="C169" s="12" t="s">
        <v>62</v>
      </c>
      <c r="D169" s="17">
        <v>44897</v>
      </c>
      <c r="E169" s="13">
        <v>3</v>
      </c>
      <c r="F169" s="13">
        <v>0.95057620706778501</v>
      </c>
      <c r="G169" s="17">
        <v>45040</v>
      </c>
      <c r="H169" s="13">
        <v>0.96163422719710601</v>
      </c>
      <c r="I169" s="4"/>
    </row>
    <row r="170" spans="1:9" ht="14.25">
      <c r="A170" s="15" t="s">
        <v>214</v>
      </c>
      <c r="B170" s="16" t="s">
        <v>103</v>
      </c>
      <c r="C170" s="12" t="s">
        <v>104</v>
      </c>
      <c r="D170" s="17">
        <v>44903</v>
      </c>
      <c r="E170" s="13">
        <v>1</v>
      </c>
      <c r="F170" s="13">
        <v>0.48177369539871401</v>
      </c>
      <c r="G170" s="17">
        <v>45046</v>
      </c>
      <c r="H170" s="13">
        <v>0.92834498334210402</v>
      </c>
      <c r="I170" s="4"/>
    </row>
    <row r="171" spans="1:9" ht="14.25">
      <c r="A171" s="15" t="s">
        <v>215</v>
      </c>
      <c r="B171" s="16" t="s">
        <v>54</v>
      </c>
      <c r="C171" s="12" t="s">
        <v>55</v>
      </c>
      <c r="D171" s="17">
        <v>44204</v>
      </c>
      <c r="E171" s="13">
        <v>2</v>
      </c>
      <c r="F171" s="13">
        <v>0.43098053100217298</v>
      </c>
      <c r="G171" s="17">
        <v>44948</v>
      </c>
      <c r="H171" s="13">
        <v>0.43731221847381901</v>
      </c>
      <c r="I171" s="4"/>
    </row>
    <row r="172" spans="1:9" ht="14.25">
      <c r="A172" s="15" t="s">
        <v>216</v>
      </c>
      <c r="B172" s="16" t="s">
        <v>24</v>
      </c>
      <c r="C172" s="12" t="s">
        <v>25</v>
      </c>
      <c r="D172" s="17">
        <v>44439</v>
      </c>
      <c r="E172" s="13">
        <v>8</v>
      </c>
      <c r="F172" s="13">
        <v>0.59735476523394404</v>
      </c>
      <c r="G172" s="17">
        <v>44982</v>
      </c>
      <c r="H172" s="13">
        <v>0.16822758298431501</v>
      </c>
      <c r="I172" s="4"/>
    </row>
    <row r="173" spans="1:9" ht="14.25">
      <c r="A173" s="15" t="s">
        <v>217</v>
      </c>
      <c r="B173" s="16" t="s">
        <v>24</v>
      </c>
      <c r="C173" s="12" t="s">
        <v>25</v>
      </c>
      <c r="D173" s="17">
        <v>44449</v>
      </c>
      <c r="E173" s="13">
        <v>6</v>
      </c>
      <c r="F173" s="13">
        <v>0.26280269378864801</v>
      </c>
      <c r="G173" s="17">
        <v>45014</v>
      </c>
      <c r="H173" s="13">
        <v>0.14823080489066301</v>
      </c>
      <c r="I173" s="4"/>
    </row>
    <row r="174" spans="1:9" ht="14.25">
      <c r="A174" s="15" t="s">
        <v>218</v>
      </c>
      <c r="B174" s="16" t="s">
        <v>49</v>
      </c>
      <c r="C174" s="12" t="s">
        <v>50</v>
      </c>
      <c r="D174" s="17">
        <v>44779</v>
      </c>
      <c r="E174" s="13">
        <v>4</v>
      </c>
      <c r="F174" s="13">
        <v>0.90284110874477896</v>
      </c>
      <c r="G174" s="17">
        <v>45008</v>
      </c>
      <c r="H174" s="13">
        <v>0.63507569454438495</v>
      </c>
      <c r="I174" s="4"/>
    </row>
    <row r="175" spans="1:9" ht="14.25">
      <c r="A175" s="15" t="s">
        <v>219</v>
      </c>
      <c r="B175" s="16" t="s">
        <v>17</v>
      </c>
      <c r="C175" s="12" t="s">
        <v>18</v>
      </c>
      <c r="D175" s="17">
        <v>44241</v>
      </c>
      <c r="E175" s="13">
        <v>6</v>
      </c>
      <c r="F175" s="13">
        <v>0.98199261995326603</v>
      </c>
      <c r="G175" s="17">
        <v>44994</v>
      </c>
      <c r="H175" s="13">
        <v>0.54481123922804697</v>
      </c>
      <c r="I175" s="4"/>
    </row>
    <row r="176" spans="1:9" ht="14.25">
      <c r="A176" s="15" t="s">
        <v>220</v>
      </c>
      <c r="B176" s="16" t="s">
        <v>43</v>
      </c>
      <c r="C176" s="12" t="s">
        <v>44</v>
      </c>
      <c r="D176" s="17">
        <v>44229</v>
      </c>
      <c r="E176" s="13">
        <v>3</v>
      </c>
      <c r="F176" s="13">
        <v>0.84716039463076198</v>
      </c>
      <c r="G176" s="17">
        <v>45067</v>
      </c>
      <c r="H176" s="13">
        <v>1.3086187744415801E-2</v>
      </c>
      <c r="I176" s="4"/>
    </row>
    <row r="177" spans="1:9" ht="14.25">
      <c r="A177" s="15" t="s">
        <v>221</v>
      </c>
      <c r="B177" s="16" t="s">
        <v>129</v>
      </c>
      <c r="C177" s="12" t="s">
        <v>22</v>
      </c>
      <c r="D177" s="17">
        <v>44836</v>
      </c>
      <c r="E177" s="13">
        <v>5</v>
      </c>
      <c r="F177" s="13">
        <v>0.30637569785375002</v>
      </c>
      <c r="G177" s="17">
        <v>45008</v>
      </c>
      <c r="H177" s="13">
        <v>1.25503463839893E-3</v>
      </c>
      <c r="I177" s="4"/>
    </row>
    <row r="178" spans="1:9" ht="14.25">
      <c r="A178" s="15" t="s">
        <v>222</v>
      </c>
      <c r="B178" s="16" t="s">
        <v>49</v>
      </c>
      <c r="C178" s="12" t="s">
        <v>50</v>
      </c>
      <c r="D178" s="17">
        <v>44211</v>
      </c>
      <c r="E178" s="13">
        <v>6</v>
      </c>
      <c r="F178" s="13">
        <v>0.76879912576772802</v>
      </c>
      <c r="G178" s="17">
        <v>45006</v>
      </c>
      <c r="H178" s="13">
        <v>0.86548533755676105</v>
      </c>
      <c r="I178" s="4"/>
    </row>
    <row r="179" spans="1:9" ht="14.25">
      <c r="A179" s="15" t="s">
        <v>223</v>
      </c>
      <c r="B179" s="16" t="s">
        <v>34</v>
      </c>
      <c r="C179" s="12" t="s">
        <v>35</v>
      </c>
      <c r="D179" s="17">
        <v>44514</v>
      </c>
      <c r="E179" s="13">
        <v>7</v>
      </c>
      <c r="F179" s="13">
        <v>0.38563992038543599</v>
      </c>
      <c r="G179" s="17">
        <v>45004</v>
      </c>
      <c r="H179" s="13">
        <v>0.508902669316179</v>
      </c>
      <c r="I179" s="4"/>
    </row>
    <row r="180" spans="1:9" ht="14.25">
      <c r="A180" s="15" t="s">
        <v>224</v>
      </c>
      <c r="B180" s="16" t="s">
        <v>81</v>
      </c>
      <c r="C180" s="12" t="s">
        <v>62</v>
      </c>
      <c r="D180" s="17">
        <v>44309</v>
      </c>
      <c r="E180" s="13">
        <v>8</v>
      </c>
      <c r="F180" s="13">
        <v>0.85335977277591302</v>
      </c>
      <c r="G180" s="17">
        <v>45021</v>
      </c>
      <c r="H180" s="13">
        <v>0.99207281995433205</v>
      </c>
      <c r="I180" s="4"/>
    </row>
    <row r="181" spans="1:9" ht="14.25">
      <c r="A181" s="15" t="s">
        <v>225</v>
      </c>
      <c r="B181" s="16" t="s">
        <v>12</v>
      </c>
      <c r="C181" s="12" t="s">
        <v>13</v>
      </c>
      <c r="D181" s="17">
        <v>44289</v>
      </c>
      <c r="E181" s="13">
        <v>5</v>
      </c>
      <c r="F181" s="13">
        <v>0.28334897654743202</v>
      </c>
      <c r="G181" s="17">
        <v>44965</v>
      </c>
      <c r="H181" s="13">
        <v>0.63454053513977304</v>
      </c>
      <c r="I181" s="4"/>
    </row>
    <row r="182" spans="1:9" ht="14.25">
      <c r="A182" s="15" t="s">
        <v>226</v>
      </c>
      <c r="B182" s="16" t="s">
        <v>81</v>
      </c>
      <c r="C182" s="12" t="s">
        <v>62</v>
      </c>
      <c r="D182" s="17">
        <v>44572</v>
      </c>
      <c r="E182" s="13">
        <v>3</v>
      </c>
      <c r="F182" s="13">
        <v>0.117748642112043</v>
      </c>
      <c r="G182" s="17">
        <v>45073</v>
      </c>
      <c r="H182" s="13">
        <v>0.67092430905617095</v>
      </c>
      <c r="I182" s="4"/>
    </row>
    <row r="183" spans="1:9" ht="14.25">
      <c r="A183" s="15" t="s">
        <v>227</v>
      </c>
      <c r="B183" s="16" t="s">
        <v>39</v>
      </c>
      <c r="C183" s="12" t="s">
        <v>40</v>
      </c>
      <c r="D183" s="17">
        <v>44790</v>
      </c>
      <c r="E183" s="13">
        <v>5</v>
      </c>
      <c r="F183" s="13">
        <v>0.76783916519082696</v>
      </c>
      <c r="G183" s="17">
        <v>45021</v>
      </c>
      <c r="H183" s="13">
        <v>0.24099871039557799</v>
      </c>
      <c r="I183" s="4"/>
    </row>
    <row r="184" spans="1:9" ht="14.25">
      <c r="A184" s="15" t="s">
        <v>228</v>
      </c>
      <c r="B184" s="16" t="s">
        <v>39</v>
      </c>
      <c r="C184" s="12" t="s">
        <v>40</v>
      </c>
      <c r="D184" s="17">
        <v>44766</v>
      </c>
      <c r="E184" s="13">
        <v>2</v>
      </c>
      <c r="F184" s="13">
        <v>0.14806713315151801</v>
      </c>
      <c r="G184" s="17">
        <v>45051</v>
      </c>
      <c r="H184" s="13">
        <v>0.312315972509696</v>
      </c>
      <c r="I184" s="4"/>
    </row>
    <row r="185" spans="1:9" ht="14.25">
      <c r="A185" s="15" t="s">
        <v>229</v>
      </c>
      <c r="B185" s="16" t="s">
        <v>39</v>
      </c>
      <c r="C185" s="12" t="s">
        <v>40</v>
      </c>
      <c r="D185" s="17">
        <v>44577</v>
      </c>
      <c r="E185" s="13">
        <v>7</v>
      </c>
      <c r="F185" s="13">
        <v>7.8885651390256904E-3</v>
      </c>
      <c r="G185" s="17">
        <v>45037</v>
      </c>
      <c r="H185" s="13">
        <v>0.42001946730883299</v>
      </c>
      <c r="I185" s="4"/>
    </row>
    <row r="186" spans="1:9" ht="14.25">
      <c r="A186" s="15" t="s">
        <v>230</v>
      </c>
      <c r="B186" s="16" t="s">
        <v>73</v>
      </c>
      <c r="C186" s="12" t="s">
        <v>74</v>
      </c>
      <c r="D186" s="17">
        <v>44416</v>
      </c>
      <c r="E186" s="13">
        <v>7</v>
      </c>
      <c r="F186" s="13">
        <v>6.5026558074850402E-2</v>
      </c>
      <c r="G186" s="17">
        <v>45005</v>
      </c>
      <c r="H186" s="13">
        <v>0.566596656084567</v>
      </c>
      <c r="I186" s="4"/>
    </row>
    <row r="187" spans="1:9" ht="14.25">
      <c r="A187" s="15" t="s">
        <v>231</v>
      </c>
      <c r="B187" s="16" t="s">
        <v>15</v>
      </c>
      <c r="C187" s="12" t="s">
        <v>10</v>
      </c>
      <c r="D187" s="17">
        <v>44883</v>
      </c>
      <c r="E187" s="13">
        <v>1</v>
      </c>
      <c r="F187" s="13">
        <v>0.30777843623572698</v>
      </c>
      <c r="G187" s="17">
        <v>44963</v>
      </c>
      <c r="H187" s="13">
        <v>0.172453184843159</v>
      </c>
      <c r="I187" s="4"/>
    </row>
    <row r="188" spans="1:9" ht="14.25">
      <c r="A188" s="15" t="s">
        <v>232</v>
      </c>
      <c r="B188" s="16" t="s">
        <v>27</v>
      </c>
      <c r="C188" s="12" t="s">
        <v>28</v>
      </c>
      <c r="D188" s="17">
        <v>44214</v>
      </c>
      <c r="E188" s="13">
        <v>5</v>
      </c>
      <c r="F188" s="13">
        <v>0.1874453216227</v>
      </c>
      <c r="G188" s="17">
        <v>44961</v>
      </c>
      <c r="H188" s="13">
        <v>0.22911064366850301</v>
      </c>
      <c r="I188" s="4"/>
    </row>
    <row r="189" spans="1:9" ht="14.25">
      <c r="A189" s="15" t="s">
        <v>233</v>
      </c>
      <c r="B189" s="16" t="s">
        <v>43</v>
      </c>
      <c r="C189" s="12" t="s">
        <v>44</v>
      </c>
      <c r="D189" s="17">
        <v>44403</v>
      </c>
      <c r="E189" s="13">
        <v>6</v>
      </c>
      <c r="F189" s="13">
        <v>0.83300140406454304</v>
      </c>
      <c r="G189" s="17">
        <v>45026</v>
      </c>
      <c r="H189" s="13">
        <v>0.70242147925557197</v>
      </c>
      <c r="I189" s="4"/>
    </row>
    <row r="190" spans="1:9" ht="14.25">
      <c r="A190" s="15" t="s">
        <v>234</v>
      </c>
      <c r="B190" s="16" t="s">
        <v>34</v>
      </c>
      <c r="C190" s="12" t="s">
        <v>35</v>
      </c>
      <c r="D190" s="17">
        <v>44694</v>
      </c>
      <c r="E190" s="13">
        <v>3</v>
      </c>
      <c r="F190" s="13">
        <v>0.27727516856333601</v>
      </c>
      <c r="G190" s="17">
        <v>45036</v>
      </c>
      <c r="H190" s="13">
        <v>0.34199564672456301</v>
      </c>
      <c r="I190" s="4"/>
    </row>
    <row r="191" spans="1:9" ht="14.25">
      <c r="A191" s="15" t="s">
        <v>235</v>
      </c>
      <c r="B191" s="16" t="s">
        <v>9</v>
      </c>
      <c r="C191" s="12" t="s">
        <v>10</v>
      </c>
      <c r="D191" s="17">
        <v>44199</v>
      </c>
      <c r="E191" s="13">
        <v>2</v>
      </c>
      <c r="F191" s="13">
        <v>0.22356266053190499</v>
      </c>
      <c r="G191" s="17">
        <v>44951</v>
      </c>
      <c r="H191" s="13">
        <v>0.43217504342818902</v>
      </c>
      <c r="I191" s="4"/>
    </row>
    <row r="192" spans="1:9" ht="14.25">
      <c r="A192" s="15" t="s">
        <v>236</v>
      </c>
      <c r="B192" s="16" t="s">
        <v>46</v>
      </c>
      <c r="C192" s="12" t="s">
        <v>47</v>
      </c>
      <c r="D192" s="17">
        <v>44606</v>
      </c>
      <c r="E192" s="13">
        <v>6</v>
      </c>
      <c r="F192" s="13">
        <v>0.64447099494037297</v>
      </c>
      <c r="G192" s="17">
        <v>44975</v>
      </c>
      <c r="H192" s="13">
        <v>0.96567027076396705</v>
      </c>
      <c r="I192" s="4"/>
    </row>
    <row r="193" spans="1:9" ht="14.25">
      <c r="A193" s="15" t="s">
        <v>237</v>
      </c>
      <c r="B193" s="16" t="s">
        <v>49</v>
      </c>
      <c r="C193" s="12" t="s">
        <v>50</v>
      </c>
      <c r="D193" s="17">
        <v>44760</v>
      </c>
      <c r="E193" s="13">
        <v>6</v>
      </c>
      <c r="F193" s="13">
        <v>0.91937449423976403</v>
      </c>
      <c r="G193" s="17">
        <v>44941</v>
      </c>
      <c r="H193" s="13">
        <v>0.80855685548065803</v>
      </c>
      <c r="I193" s="4"/>
    </row>
    <row r="194" spans="1:9" ht="14.25">
      <c r="A194" s="15" t="s">
        <v>238</v>
      </c>
      <c r="B194" s="16" t="s">
        <v>71</v>
      </c>
      <c r="C194" s="12" t="s">
        <v>50</v>
      </c>
      <c r="D194" s="17">
        <v>44391</v>
      </c>
      <c r="E194" s="13">
        <v>1</v>
      </c>
      <c r="F194" s="13">
        <v>0.26377783191771698</v>
      </c>
      <c r="G194" s="17">
        <v>44943</v>
      </c>
      <c r="H194" s="13">
        <v>0.53464391868976202</v>
      </c>
      <c r="I194" s="4"/>
    </row>
    <row r="195" spans="1:9" ht="14.25">
      <c r="A195" s="15" t="s">
        <v>239</v>
      </c>
      <c r="B195" s="16" t="s">
        <v>27</v>
      </c>
      <c r="C195" s="12" t="s">
        <v>28</v>
      </c>
      <c r="D195" s="17">
        <v>44457</v>
      </c>
      <c r="E195" s="13">
        <v>3</v>
      </c>
      <c r="F195" s="13">
        <v>0.48376018648020602</v>
      </c>
      <c r="G195" s="17">
        <v>44983</v>
      </c>
      <c r="H195" s="13">
        <v>0.28976743361438201</v>
      </c>
      <c r="I195" s="4"/>
    </row>
    <row r="196" spans="1:9" ht="14.25">
      <c r="A196" s="15" t="s">
        <v>240</v>
      </c>
      <c r="B196" s="16" t="s">
        <v>58</v>
      </c>
      <c r="C196" s="12" t="s">
        <v>59</v>
      </c>
      <c r="D196" s="17">
        <v>44409</v>
      </c>
      <c r="E196" s="13">
        <v>2</v>
      </c>
      <c r="F196" s="13">
        <v>0.56649641364178105</v>
      </c>
      <c r="G196" s="17">
        <v>44948</v>
      </c>
      <c r="H196" s="13">
        <v>0.76019400248091895</v>
      </c>
      <c r="I196" s="4"/>
    </row>
    <row r="197" spans="1:9" ht="14.25">
      <c r="A197" s="15" t="s">
        <v>241</v>
      </c>
      <c r="B197" s="16" t="s">
        <v>103</v>
      </c>
      <c r="C197" s="12" t="s">
        <v>104</v>
      </c>
      <c r="D197" s="17">
        <v>44229</v>
      </c>
      <c r="E197" s="13">
        <v>10</v>
      </c>
      <c r="F197" s="13">
        <v>0.81758392927810297</v>
      </c>
      <c r="G197" s="17">
        <v>44937</v>
      </c>
      <c r="H197" s="13">
        <v>0.16419798109251399</v>
      </c>
      <c r="I197" s="4"/>
    </row>
    <row r="198" spans="1:9" ht="14.25">
      <c r="A198" s="15" t="s">
        <v>242</v>
      </c>
      <c r="B198" s="16" t="s">
        <v>46</v>
      </c>
      <c r="C198" s="12" t="s">
        <v>47</v>
      </c>
      <c r="D198" s="17">
        <v>44412</v>
      </c>
      <c r="E198" s="13">
        <v>5</v>
      </c>
      <c r="F198" s="13">
        <v>0.24147425161639699</v>
      </c>
      <c r="G198" s="17">
        <v>45005</v>
      </c>
      <c r="H198" s="13">
        <v>0.23302367858983999</v>
      </c>
      <c r="I198" s="4"/>
    </row>
    <row r="199" spans="1:9" ht="14.25">
      <c r="A199" s="15" t="s">
        <v>243</v>
      </c>
      <c r="B199" s="16" t="s">
        <v>58</v>
      </c>
      <c r="C199" s="12" t="s">
        <v>59</v>
      </c>
      <c r="D199" s="17">
        <v>44828</v>
      </c>
      <c r="E199" s="13">
        <v>6</v>
      </c>
      <c r="F199" s="13">
        <v>0.51291771398490105</v>
      </c>
      <c r="G199" s="17">
        <v>44987</v>
      </c>
      <c r="H199" s="13">
        <v>0.755021488484095</v>
      </c>
      <c r="I199" s="4"/>
    </row>
    <row r="200" spans="1:9" ht="14.25">
      <c r="A200" s="15" t="s">
        <v>244</v>
      </c>
      <c r="B200" s="16" t="s">
        <v>73</v>
      </c>
      <c r="C200" s="12" t="s">
        <v>74</v>
      </c>
      <c r="D200" s="17">
        <v>44742</v>
      </c>
      <c r="E200" s="13">
        <v>9</v>
      </c>
      <c r="F200" s="13">
        <v>0.30094368268289601</v>
      </c>
      <c r="G200" s="17">
        <v>45037</v>
      </c>
      <c r="H200" s="13">
        <v>0.55983002083455202</v>
      </c>
      <c r="I200" s="4"/>
    </row>
    <row r="201" spans="1:9" ht="14.25">
      <c r="A201" s="15" t="s">
        <v>245</v>
      </c>
      <c r="B201" s="16" t="s">
        <v>58</v>
      </c>
      <c r="C201" s="12" t="s">
        <v>59</v>
      </c>
      <c r="D201" s="17">
        <v>44502</v>
      </c>
      <c r="E201" s="13">
        <v>8</v>
      </c>
      <c r="F201" s="13">
        <v>0.91352809441905303</v>
      </c>
      <c r="G201" s="17">
        <v>44978</v>
      </c>
      <c r="H201" s="13">
        <v>0.137985792121295</v>
      </c>
      <c r="I201" s="4"/>
    </row>
    <row r="202" spans="1:9" ht="12.75">
      <c r="A202" s="2"/>
      <c r="B202" s="3"/>
      <c r="C202" s="4"/>
      <c r="D202" s="5"/>
      <c r="E202" s="6"/>
      <c r="F202" s="6"/>
      <c r="G202" s="5"/>
      <c r="H202" s="6"/>
      <c r="I202" s="4"/>
    </row>
    <row r="203" spans="1:9" ht="14.25">
      <c r="A203" s="2"/>
      <c r="B203" s="3"/>
      <c r="C203" s="4"/>
      <c r="D203" s="7" t="s">
        <v>246</v>
      </c>
      <c r="E203" s="6"/>
      <c r="F203" s="6"/>
      <c r="G203" s="8"/>
      <c r="H203" s="6"/>
      <c r="I203" s="4"/>
    </row>
    <row r="204" spans="1:9" ht="12.75">
      <c r="A204" s="2"/>
      <c r="B204" s="3"/>
      <c r="C204" s="4"/>
      <c r="D204" s="9"/>
      <c r="E204" s="6"/>
      <c r="F204" s="6"/>
      <c r="G204" s="6"/>
      <c r="H204" s="6"/>
      <c r="I204" s="4"/>
    </row>
  </sheetData>
  <hyperlinks>
    <hyperlink ref="B2" r:id="rId1" xr:uid="{00000000-0004-0000-0000-000000000000}"/>
    <hyperlink ref="B3" r:id="rId2" xr:uid="{00000000-0004-0000-0000-000001000000}"/>
    <hyperlink ref="B4" r:id="rId3" xr:uid="{00000000-0004-0000-0000-000002000000}"/>
    <hyperlink ref="B5" r:id="rId4" xr:uid="{00000000-0004-0000-0000-000003000000}"/>
    <hyperlink ref="B6" r:id="rId5" xr:uid="{00000000-0004-0000-0000-000004000000}"/>
    <hyperlink ref="B7" r:id="rId6" xr:uid="{00000000-0004-0000-0000-000005000000}"/>
    <hyperlink ref="B8" r:id="rId7" xr:uid="{00000000-0004-0000-0000-000006000000}"/>
    <hyperlink ref="B9" r:id="rId8" xr:uid="{00000000-0004-0000-0000-000007000000}"/>
    <hyperlink ref="B10" r:id="rId9" xr:uid="{00000000-0004-0000-0000-000008000000}"/>
    <hyperlink ref="B11" r:id="rId10" xr:uid="{00000000-0004-0000-0000-000009000000}"/>
    <hyperlink ref="B12" r:id="rId11" xr:uid="{00000000-0004-0000-0000-00000A000000}"/>
    <hyperlink ref="B13" r:id="rId12" xr:uid="{00000000-0004-0000-0000-00000B000000}"/>
    <hyperlink ref="B14" r:id="rId13" xr:uid="{00000000-0004-0000-0000-00000C000000}"/>
    <hyperlink ref="B15" r:id="rId14" xr:uid="{00000000-0004-0000-0000-00000D000000}"/>
    <hyperlink ref="B16" r:id="rId15" xr:uid="{00000000-0004-0000-0000-00000E000000}"/>
    <hyperlink ref="B17" r:id="rId16" xr:uid="{00000000-0004-0000-0000-00000F000000}"/>
    <hyperlink ref="B18" r:id="rId17" xr:uid="{00000000-0004-0000-0000-000010000000}"/>
    <hyperlink ref="B19" r:id="rId18" xr:uid="{00000000-0004-0000-0000-000011000000}"/>
    <hyperlink ref="B20" r:id="rId19" xr:uid="{00000000-0004-0000-0000-000012000000}"/>
    <hyperlink ref="B21" r:id="rId20" xr:uid="{00000000-0004-0000-0000-000013000000}"/>
    <hyperlink ref="B22" r:id="rId21" xr:uid="{00000000-0004-0000-0000-000014000000}"/>
    <hyperlink ref="B23" r:id="rId22" xr:uid="{00000000-0004-0000-0000-000015000000}"/>
    <hyperlink ref="B24" r:id="rId23" xr:uid="{00000000-0004-0000-0000-000016000000}"/>
    <hyperlink ref="B25" r:id="rId24" xr:uid="{00000000-0004-0000-0000-000017000000}"/>
    <hyperlink ref="B26" r:id="rId25" xr:uid="{00000000-0004-0000-0000-000018000000}"/>
    <hyperlink ref="B27" r:id="rId26" xr:uid="{00000000-0004-0000-0000-000019000000}"/>
    <hyperlink ref="B28" r:id="rId27" xr:uid="{00000000-0004-0000-0000-00001A000000}"/>
    <hyperlink ref="B29" r:id="rId28" xr:uid="{00000000-0004-0000-0000-00001B000000}"/>
    <hyperlink ref="B30" r:id="rId29" xr:uid="{00000000-0004-0000-0000-00001C000000}"/>
    <hyperlink ref="B31" r:id="rId30" xr:uid="{00000000-0004-0000-0000-00001D000000}"/>
    <hyperlink ref="B32" r:id="rId31" xr:uid="{00000000-0004-0000-0000-00001E000000}"/>
    <hyperlink ref="B33" r:id="rId32" xr:uid="{00000000-0004-0000-0000-00001F000000}"/>
    <hyperlink ref="B34" r:id="rId33" xr:uid="{00000000-0004-0000-0000-000020000000}"/>
    <hyperlink ref="B35" r:id="rId34" xr:uid="{00000000-0004-0000-0000-000021000000}"/>
    <hyperlink ref="B36" r:id="rId35" xr:uid="{00000000-0004-0000-0000-000022000000}"/>
    <hyperlink ref="B37" r:id="rId36" xr:uid="{00000000-0004-0000-0000-000023000000}"/>
    <hyperlink ref="B38" r:id="rId37" xr:uid="{00000000-0004-0000-0000-000024000000}"/>
    <hyperlink ref="B39" r:id="rId38" xr:uid="{00000000-0004-0000-0000-000025000000}"/>
    <hyperlink ref="B40" r:id="rId39" xr:uid="{00000000-0004-0000-0000-000026000000}"/>
    <hyperlink ref="B41" r:id="rId40" xr:uid="{00000000-0004-0000-0000-000027000000}"/>
    <hyperlink ref="B42" r:id="rId41" xr:uid="{00000000-0004-0000-0000-000028000000}"/>
    <hyperlink ref="B43" r:id="rId42" xr:uid="{00000000-0004-0000-0000-000029000000}"/>
    <hyperlink ref="B44" r:id="rId43" xr:uid="{00000000-0004-0000-0000-00002A000000}"/>
    <hyperlink ref="B45" r:id="rId44" xr:uid="{00000000-0004-0000-0000-00002B000000}"/>
    <hyperlink ref="B46" r:id="rId45" xr:uid="{00000000-0004-0000-0000-00002C000000}"/>
    <hyperlink ref="B47" r:id="rId46" xr:uid="{00000000-0004-0000-0000-00002D000000}"/>
    <hyperlink ref="B48" r:id="rId47" xr:uid="{00000000-0004-0000-0000-00002E000000}"/>
    <hyperlink ref="B49" r:id="rId48" xr:uid="{00000000-0004-0000-0000-00002F000000}"/>
    <hyperlink ref="B50" r:id="rId49" xr:uid="{00000000-0004-0000-0000-000030000000}"/>
    <hyperlink ref="B51" r:id="rId50" xr:uid="{00000000-0004-0000-0000-000031000000}"/>
    <hyperlink ref="B52" r:id="rId51" xr:uid="{00000000-0004-0000-0000-000032000000}"/>
    <hyperlink ref="B53" r:id="rId52" xr:uid="{00000000-0004-0000-0000-000033000000}"/>
    <hyperlink ref="B54" r:id="rId53" xr:uid="{00000000-0004-0000-0000-000034000000}"/>
    <hyperlink ref="B55" r:id="rId54" xr:uid="{00000000-0004-0000-0000-000035000000}"/>
    <hyperlink ref="B56" r:id="rId55" xr:uid="{00000000-0004-0000-0000-000036000000}"/>
    <hyperlink ref="B57" r:id="rId56" xr:uid="{00000000-0004-0000-0000-000037000000}"/>
    <hyperlink ref="B58" r:id="rId57" xr:uid="{00000000-0004-0000-0000-000038000000}"/>
    <hyperlink ref="B59" r:id="rId58" xr:uid="{00000000-0004-0000-0000-000039000000}"/>
    <hyperlink ref="B60" r:id="rId59" xr:uid="{00000000-0004-0000-0000-00003A000000}"/>
    <hyperlink ref="B62" r:id="rId60" xr:uid="{00000000-0004-0000-0000-00003B000000}"/>
    <hyperlink ref="B63" r:id="rId61" xr:uid="{00000000-0004-0000-0000-00003C000000}"/>
    <hyperlink ref="B64" r:id="rId62" xr:uid="{00000000-0004-0000-0000-00003D000000}"/>
    <hyperlink ref="B65" r:id="rId63" xr:uid="{00000000-0004-0000-0000-00003E000000}"/>
    <hyperlink ref="B66" r:id="rId64" xr:uid="{00000000-0004-0000-0000-00003F000000}"/>
    <hyperlink ref="B67" r:id="rId65" xr:uid="{00000000-0004-0000-0000-000040000000}"/>
    <hyperlink ref="B68" r:id="rId66" xr:uid="{00000000-0004-0000-0000-000041000000}"/>
    <hyperlink ref="B69" r:id="rId67" xr:uid="{00000000-0004-0000-0000-000042000000}"/>
    <hyperlink ref="B70" r:id="rId68" xr:uid="{00000000-0004-0000-0000-000043000000}"/>
    <hyperlink ref="B72" r:id="rId69" xr:uid="{00000000-0004-0000-0000-000044000000}"/>
    <hyperlink ref="B73" r:id="rId70" xr:uid="{00000000-0004-0000-0000-000045000000}"/>
    <hyperlink ref="B74" r:id="rId71" xr:uid="{00000000-0004-0000-0000-000046000000}"/>
    <hyperlink ref="B75" r:id="rId72" xr:uid="{00000000-0004-0000-0000-000047000000}"/>
    <hyperlink ref="B76" r:id="rId73" xr:uid="{00000000-0004-0000-0000-000048000000}"/>
    <hyperlink ref="B77" r:id="rId74" xr:uid="{00000000-0004-0000-0000-000049000000}"/>
    <hyperlink ref="B78" r:id="rId75" xr:uid="{00000000-0004-0000-0000-00004A000000}"/>
    <hyperlink ref="B79" r:id="rId76" xr:uid="{00000000-0004-0000-0000-00004B000000}"/>
    <hyperlink ref="B80" r:id="rId77" xr:uid="{00000000-0004-0000-0000-00004C000000}"/>
    <hyperlink ref="B81" r:id="rId78" xr:uid="{00000000-0004-0000-0000-00004D000000}"/>
    <hyperlink ref="B83" r:id="rId79" xr:uid="{00000000-0004-0000-0000-00004E000000}"/>
    <hyperlink ref="B84" r:id="rId80" xr:uid="{00000000-0004-0000-0000-00004F000000}"/>
    <hyperlink ref="B85" r:id="rId81" xr:uid="{00000000-0004-0000-0000-000050000000}"/>
    <hyperlink ref="B86" r:id="rId82" xr:uid="{00000000-0004-0000-0000-000051000000}"/>
    <hyperlink ref="B87" r:id="rId83" xr:uid="{00000000-0004-0000-0000-000052000000}"/>
    <hyperlink ref="B89" r:id="rId84" xr:uid="{00000000-0004-0000-0000-000053000000}"/>
    <hyperlink ref="B90" r:id="rId85" xr:uid="{00000000-0004-0000-0000-000054000000}"/>
    <hyperlink ref="B91" r:id="rId86" xr:uid="{00000000-0004-0000-0000-000055000000}"/>
    <hyperlink ref="B92" r:id="rId87" xr:uid="{00000000-0004-0000-0000-000056000000}"/>
    <hyperlink ref="B93" r:id="rId88" xr:uid="{00000000-0004-0000-0000-000057000000}"/>
    <hyperlink ref="B94" r:id="rId89" xr:uid="{00000000-0004-0000-0000-000058000000}"/>
    <hyperlink ref="B96" r:id="rId90" xr:uid="{00000000-0004-0000-0000-000059000000}"/>
    <hyperlink ref="B97" r:id="rId91" xr:uid="{00000000-0004-0000-0000-00005A000000}"/>
    <hyperlink ref="B99" r:id="rId92" xr:uid="{00000000-0004-0000-0000-00005B000000}"/>
    <hyperlink ref="B100" r:id="rId93" xr:uid="{00000000-0004-0000-0000-00005C000000}"/>
    <hyperlink ref="B101" r:id="rId94" xr:uid="{00000000-0004-0000-0000-00005D000000}"/>
    <hyperlink ref="B103" r:id="rId95" xr:uid="{00000000-0004-0000-0000-00005E000000}"/>
    <hyperlink ref="B104" r:id="rId96" xr:uid="{00000000-0004-0000-0000-00005F000000}"/>
    <hyperlink ref="B106" r:id="rId97" xr:uid="{00000000-0004-0000-0000-000060000000}"/>
    <hyperlink ref="B107" r:id="rId98" xr:uid="{00000000-0004-0000-0000-000061000000}"/>
    <hyperlink ref="B108" r:id="rId99" xr:uid="{00000000-0004-0000-0000-000062000000}"/>
    <hyperlink ref="B109" r:id="rId100" xr:uid="{00000000-0004-0000-0000-000063000000}"/>
    <hyperlink ref="B110" r:id="rId101" xr:uid="{00000000-0004-0000-0000-000064000000}"/>
    <hyperlink ref="B111" r:id="rId102" xr:uid="{00000000-0004-0000-0000-000065000000}"/>
    <hyperlink ref="B112" r:id="rId103" xr:uid="{00000000-0004-0000-0000-000066000000}"/>
    <hyperlink ref="B113" r:id="rId104" xr:uid="{00000000-0004-0000-0000-000067000000}"/>
    <hyperlink ref="B114" r:id="rId105" xr:uid="{00000000-0004-0000-0000-000068000000}"/>
    <hyperlink ref="B115" r:id="rId106" xr:uid="{00000000-0004-0000-0000-000069000000}"/>
    <hyperlink ref="B116" r:id="rId107" xr:uid="{00000000-0004-0000-0000-00006A000000}"/>
    <hyperlink ref="B117" r:id="rId108" xr:uid="{00000000-0004-0000-0000-00006B000000}"/>
    <hyperlink ref="B119" r:id="rId109" xr:uid="{00000000-0004-0000-0000-00006C000000}"/>
    <hyperlink ref="B120" r:id="rId110" xr:uid="{00000000-0004-0000-0000-00006D000000}"/>
    <hyperlink ref="B121" r:id="rId111" xr:uid="{00000000-0004-0000-0000-00006E000000}"/>
    <hyperlink ref="B122" r:id="rId112" xr:uid="{00000000-0004-0000-0000-00006F000000}"/>
    <hyperlink ref="B123" r:id="rId113" xr:uid="{00000000-0004-0000-0000-000070000000}"/>
    <hyperlink ref="B124" r:id="rId114" xr:uid="{00000000-0004-0000-0000-000071000000}"/>
    <hyperlink ref="B125" r:id="rId115" xr:uid="{00000000-0004-0000-0000-000072000000}"/>
    <hyperlink ref="B126" r:id="rId116" xr:uid="{00000000-0004-0000-0000-000073000000}"/>
    <hyperlink ref="B128" r:id="rId117" xr:uid="{00000000-0004-0000-0000-000074000000}"/>
    <hyperlink ref="B129" r:id="rId118" xr:uid="{00000000-0004-0000-0000-000075000000}"/>
    <hyperlink ref="B131" r:id="rId119" xr:uid="{00000000-0004-0000-0000-000076000000}"/>
    <hyperlink ref="B132" r:id="rId120" xr:uid="{00000000-0004-0000-0000-000077000000}"/>
    <hyperlink ref="B133" r:id="rId121" xr:uid="{00000000-0004-0000-0000-000078000000}"/>
    <hyperlink ref="B134" r:id="rId122" xr:uid="{00000000-0004-0000-0000-000079000000}"/>
    <hyperlink ref="B135" r:id="rId123" xr:uid="{00000000-0004-0000-0000-00007A000000}"/>
    <hyperlink ref="B136" r:id="rId124" xr:uid="{00000000-0004-0000-0000-00007B000000}"/>
    <hyperlink ref="B137" r:id="rId125" xr:uid="{00000000-0004-0000-0000-00007C000000}"/>
    <hyperlink ref="B138" r:id="rId126" xr:uid="{00000000-0004-0000-0000-00007D000000}"/>
    <hyperlink ref="B139" r:id="rId127" xr:uid="{00000000-0004-0000-0000-00007E000000}"/>
    <hyperlink ref="B140" r:id="rId128" xr:uid="{00000000-0004-0000-0000-00007F000000}"/>
    <hyperlink ref="B141" r:id="rId129" xr:uid="{00000000-0004-0000-0000-000080000000}"/>
    <hyperlink ref="B142" r:id="rId130" xr:uid="{00000000-0004-0000-0000-000081000000}"/>
    <hyperlink ref="B143" r:id="rId131" xr:uid="{00000000-0004-0000-0000-000082000000}"/>
    <hyperlink ref="B144" r:id="rId132" xr:uid="{00000000-0004-0000-0000-000083000000}"/>
    <hyperlink ref="B145" r:id="rId133" xr:uid="{00000000-0004-0000-0000-000084000000}"/>
    <hyperlink ref="B146" r:id="rId134" xr:uid="{00000000-0004-0000-0000-000085000000}"/>
    <hyperlink ref="B147" r:id="rId135" xr:uid="{00000000-0004-0000-0000-000086000000}"/>
    <hyperlink ref="B148" r:id="rId136" xr:uid="{00000000-0004-0000-0000-000087000000}"/>
    <hyperlink ref="B149" r:id="rId137" xr:uid="{00000000-0004-0000-0000-000088000000}"/>
    <hyperlink ref="B150" r:id="rId138" xr:uid="{00000000-0004-0000-0000-000089000000}"/>
    <hyperlink ref="B151" r:id="rId139" xr:uid="{00000000-0004-0000-0000-00008A000000}"/>
    <hyperlink ref="B154" r:id="rId140" xr:uid="{00000000-0004-0000-0000-00008B000000}"/>
    <hyperlink ref="B155" r:id="rId141" xr:uid="{00000000-0004-0000-0000-00008C000000}"/>
    <hyperlink ref="B156" r:id="rId142" xr:uid="{00000000-0004-0000-0000-00008D000000}"/>
    <hyperlink ref="B157" r:id="rId143" xr:uid="{00000000-0004-0000-0000-00008E000000}"/>
    <hyperlink ref="B159" r:id="rId144" xr:uid="{00000000-0004-0000-0000-00008F000000}"/>
    <hyperlink ref="B160" r:id="rId145" xr:uid="{00000000-0004-0000-0000-000090000000}"/>
    <hyperlink ref="B161" r:id="rId146" xr:uid="{00000000-0004-0000-0000-000091000000}"/>
    <hyperlink ref="B162" r:id="rId147" xr:uid="{00000000-0004-0000-0000-000092000000}"/>
    <hyperlink ref="B163" r:id="rId148" xr:uid="{00000000-0004-0000-0000-000093000000}"/>
    <hyperlink ref="B164" r:id="rId149" xr:uid="{00000000-0004-0000-0000-000094000000}"/>
    <hyperlink ref="B165" r:id="rId150" xr:uid="{00000000-0004-0000-0000-000095000000}"/>
    <hyperlink ref="B166" r:id="rId151" xr:uid="{00000000-0004-0000-0000-000096000000}"/>
    <hyperlink ref="B167" r:id="rId152" xr:uid="{00000000-0004-0000-0000-000097000000}"/>
    <hyperlink ref="B168" r:id="rId153" xr:uid="{00000000-0004-0000-0000-000098000000}"/>
    <hyperlink ref="B169" r:id="rId154" xr:uid="{00000000-0004-0000-0000-000099000000}"/>
    <hyperlink ref="B171" r:id="rId155" xr:uid="{00000000-0004-0000-0000-00009A000000}"/>
    <hyperlink ref="B172" r:id="rId156" xr:uid="{00000000-0004-0000-0000-00009B000000}"/>
    <hyperlink ref="B173" r:id="rId157" xr:uid="{00000000-0004-0000-0000-00009C000000}"/>
    <hyperlink ref="B174" r:id="rId158" xr:uid="{00000000-0004-0000-0000-00009D000000}"/>
    <hyperlink ref="B175" r:id="rId159" xr:uid="{00000000-0004-0000-0000-00009E000000}"/>
    <hyperlink ref="B176" r:id="rId160" xr:uid="{00000000-0004-0000-0000-00009F000000}"/>
    <hyperlink ref="B177" r:id="rId161" xr:uid="{00000000-0004-0000-0000-0000A0000000}"/>
    <hyperlink ref="B178" r:id="rId162" xr:uid="{00000000-0004-0000-0000-0000A1000000}"/>
    <hyperlink ref="B179" r:id="rId163" xr:uid="{00000000-0004-0000-0000-0000A2000000}"/>
    <hyperlink ref="B180" r:id="rId164" xr:uid="{00000000-0004-0000-0000-0000A3000000}"/>
    <hyperlink ref="B181" r:id="rId165" xr:uid="{00000000-0004-0000-0000-0000A4000000}"/>
    <hyperlink ref="B182" r:id="rId166" xr:uid="{00000000-0004-0000-0000-0000A5000000}"/>
    <hyperlink ref="B183" r:id="rId167" xr:uid="{00000000-0004-0000-0000-0000A6000000}"/>
    <hyperlink ref="B184" r:id="rId168" xr:uid="{00000000-0004-0000-0000-0000A7000000}"/>
    <hyperlink ref="B185" r:id="rId169" xr:uid="{00000000-0004-0000-0000-0000A8000000}"/>
    <hyperlink ref="B186" r:id="rId170" xr:uid="{00000000-0004-0000-0000-0000A9000000}"/>
    <hyperlink ref="B187" r:id="rId171" xr:uid="{00000000-0004-0000-0000-0000AA000000}"/>
    <hyperlink ref="B188" r:id="rId172" xr:uid="{00000000-0004-0000-0000-0000AB000000}"/>
    <hyperlink ref="B189" r:id="rId173" xr:uid="{00000000-0004-0000-0000-0000AC000000}"/>
    <hyperlink ref="B190" r:id="rId174" xr:uid="{00000000-0004-0000-0000-0000AD000000}"/>
    <hyperlink ref="B191" r:id="rId175" xr:uid="{00000000-0004-0000-0000-0000AE000000}"/>
    <hyperlink ref="B192" r:id="rId176" xr:uid="{00000000-0004-0000-0000-0000AF000000}"/>
    <hyperlink ref="B193" r:id="rId177" xr:uid="{00000000-0004-0000-0000-0000B0000000}"/>
    <hyperlink ref="B194" r:id="rId178" xr:uid="{00000000-0004-0000-0000-0000B1000000}"/>
    <hyperlink ref="B195" r:id="rId179" xr:uid="{00000000-0004-0000-0000-0000B2000000}"/>
    <hyperlink ref="B196" r:id="rId180" xr:uid="{00000000-0004-0000-0000-0000B3000000}"/>
    <hyperlink ref="B198" r:id="rId181" xr:uid="{00000000-0004-0000-0000-0000B4000000}"/>
    <hyperlink ref="B199" r:id="rId182" xr:uid="{00000000-0004-0000-0000-0000B5000000}"/>
    <hyperlink ref="B200" r:id="rId183" xr:uid="{00000000-0004-0000-0000-0000B6000000}"/>
    <hyperlink ref="B201" r:id="rId184" xr:uid="{00000000-0004-0000-0000-0000B7000000}"/>
  </hyperlinks>
  <pageMargins left="0" right="0" top="0" bottom="0" header="0" footer="0"/>
  <pageSetup paperSize="9" orientation="portrait" horizontalDpi="0" verticalDpi="0" r:id="rId18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1FE819-F084-42AE-B9FD-C75BDD3CF7D5}">
  <dimension ref="A1:E201"/>
  <sheetViews>
    <sheetView showGridLines="0" tabSelected="1" zoomScale="86" zoomScaleNormal="86" workbookViewId="0">
      <selection activeCell="H39" sqref="H39"/>
    </sheetView>
  </sheetViews>
  <sheetFormatPr defaultRowHeight="12.75"/>
  <cols>
    <col min="1" max="1" width="37.28515625" bestFit="1" customWidth="1"/>
    <col min="2" max="2" width="32.5703125" bestFit="1" customWidth="1"/>
    <col min="3" max="3" width="18.85546875" style="19" bestFit="1" customWidth="1"/>
    <col min="4" max="4" width="29.5703125" style="19" bestFit="1" customWidth="1"/>
    <col min="5" max="5" width="18.7109375" bestFit="1" customWidth="1"/>
    <col min="6" max="6" width="26.7109375" bestFit="1" customWidth="1"/>
    <col min="7" max="7" width="22.7109375" bestFit="1" customWidth="1"/>
    <col min="8" max="8" width="29.7109375" bestFit="1" customWidth="1"/>
    <col min="9" max="9" width="16.140625" bestFit="1" customWidth="1"/>
    <col min="10" max="10" width="23.42578125" bestFit="1" customWidth="1"/>
    <col min="11" max="11" width="7.7109375" bestFit="1" customWidth="1"/>
    <col min="12" max="12" width="35.140625" bestFit="1" customWidth="1"/>
    <col min="13" max="13" width="24.140625" bestFit="1" customWidth="1"/>
    <col min="14" max="14" width="25.140625" bestFit="1" customWidth="1"/>
    <col min="15" max="15" width="31.7109375" bestFit="1" customWidth="1"/>
    <col min="16" max="16" width="25.28515625" bestFit="1" customWidth="1"/>
    <col min="17" max="17" width="25.85546875" bestFit="1" customWidth="1"/>
    <col min="18" max="18" width="19.7109375" bestFit="1" customWidth="1"/>
    <col min="19" max="19" width="23.28515625" bestFit="1" customWidth="1"/>
    <col min="20" max="20" width="23" bestFit="1" customWidth="1"/>
    <col min="21" max="21" width="23.5703125" bestFit="1" customWidth="1"/>
    <col min="22" max="22" width="18.7109375" bestFit="1" customWidth="1"/>
  </cols>
  <sheetData>
    <row r="1" spans="1:5" ht="21" thickTop="1" thickBot="1">
      <c r="A1" s="30" t="s">
        <v>2</v>
      </c>
      <c r="B1" s="30" t="s">
        <v>1</v>
      </c>
      <c r="C1" s="29" t="s">
        <v>248</v>
      </c>
      <c r="D1" s="56" t="s">
        <v>257</v>
      </c>
    </row>
    <row r="2" spans="1:5" s="18" customFormat="1" ht="15.75" thickTop="1">
      <c r="A2" s="22" t="s">
        <v>104</v>
      </c>
      <c r="B2"/>
      <c r="C2" s="24">
        <v>80</v>
      </c>
      <c r="D2" s="25" t="str">
        <f>IF(B2&lt;&gt; "","", IF(C2&gt;=67,"yes","no"))</f>
        <v>yes</v>
      </c>
      <c r="E2"/>
    </row>
    <row r="3" spans="1:5" s="18" customFormat="1" ht="15">
      <c r="A3" s="22"/>
      <c r="B3" s="22" t="s">
        <v>103</v>
      </c>
      <c r="C3" s="24">
        <v>80</v>
      </c>
      <c r="D3" s="24" t="str">
        <f t="shared" ref="D3:D39" si="0">IF(B3&lt;&gt; "","", IF(C3&gt;=67,"yes","no"))</f>
        <v/>
      </c>
      <c r="E3"/>
    </row>
    <row r="4" spans="1:5" s="18" customFormat="1" ht="15">
      <c r="A4" s="22" t="s">
        <v>59</v>
      </c>
      <c r="B4"/>
      <c r="C4" s="24">
        <v>83</v>
      </c>
      <c r="D4" s="24" t="str">
        <f t="shared" si="0"/>
        <v>yes</v>
      </c>
      <c r="E4"/>
    </row>
    <row r="5" spans="1:5" s="18" customFormat="1" ht="15">
      <c r="A5" s="22"/>
      <c r="B5" s="22" t="s">
        <v>58</v>
      </c>
      <c r="C5" s="24">
        <v>83</v>
      </c>
      <c r="D5" s="24" t="str">
        <f t="shared" si="0"/>
        <v/>
      </c>
      <c r="E5"/>
    </row>
    <row r="6" spans="1:5" s="18" customFormat="1" ht="15">
      <c r="A6" s="22" t="s">
        <v>31</v>
      </c>
      <c r="B6"/>
      <c r="C6" s="24">
        <v>46</v>
      </c>
      <c r="D6" s="24" t="str">
        <f t="shared" si="0"/>
        <v>no</v>
      </c>
      <c r="E6"/>
    </row>
    <row r="7" spans="1:5" s="18" customFormat="1" ht="15">
      <c r="A7" s="22"/>
      <c r="B7" s="22" t="s">
        <v>30</v>
      </c>
      <c r="C7" s="24">
        <v>46</v>
      </c>
      <c r="D7" s="24" t="str">
        <f t="shared" si="0"/>
        <v/>
      </c>
      <c r="E7"/>
    </row>
    <row r="8" spans="1:5" s="18" customFormat="1" ht="15">
      <c r="A8" s="22" t="s">
        <v>50</v>
      </c>
      <c r="B8"/>
      <c r="C8" s="24">
        <v>74</v>
      </c>
      <c r="D8" s="24" t="str">
        <f t="shared" si="0"/>
        <v>yes</v>
      </c>
      <c r="E8"/>
    </row>
    <row r="9" spans="1:5" s="18" customFormat="1" ht="15">
      <c r="A9" s="22"/>
      <c r="B9" s="22" t="s">
        <v>49</v>
      </c>
      <c r="C9" s="24">
        <v>39</v>
      </c>
      <c r="D9" s="24" t="str">
        <f t="shared" si="0"/>
        <v/>
      </c>
      <c r="E9"/>
    </row>
    <row r="10" spans="1:5" s="18" customFormat="1" ht="15">
      <c r="A10" s="22"/>
      <c r="B10" s="22" t="s">
        <v>71</v>
      </c>
      <c r="C10" s="24">
        <v>35</v>
      </c>
      <c r="D10" s="24" t="str">
        <f t="shared" si="0"/>
        <v/>
      </c>
      <c r="E10"/>
    </row>
    <row r="11" spans="1:5" s="18" customFormat="1" ht="15">
      <c r="A11" s="22" t="s">
        <v>22</v>
      </c>
      <c r="B11"/>
      <c r="C11" s="24">
        <v>70</v>
      </c>
      <c r="D11" s="24" t="str">
        <f t="shared" si="0"/>
        <v>yes</v>
      </c>
      <c r="E11"/>
    </row>
    <row r="12" spans="1:5" s="18" customFormat="1" ht="15">
      <c r="A12" s="22"/>
      <c r="B12" s="22" t="s">
        <v>21</v>
      </c>
      <c r="C12" s="24">
        <v>30</v>
      </c>
      <c r="D12" s="24" t="str">
        <f t="shared" si="0"/>
        <v/>
      </c>
      <c r="E12"/>
    </row>
    <row r="13" spans="1:5" s="18" customFormat="1" ht="15">
      <c r="A13" s="22"/>
      <c r="B13" s="22" t="s">
        <v>129</v>
      </c>
      <c r="C13" s="24">
        <v>40</v>
      </c>
      <c r="D13" s="24" t="str">
        <f t="shared" si="0"/>
        <v/>
      </c>
      <c r="E13"/>
    </row>
    <row r="14" spans="1:5" s="18" customFormat="1" ht="15">
      <c r="A14" s="22" t="s">
        <v>35</v>
      </c>
      <c r="B14"/>
      <c r="C14" s="24">
        <v>81</v>
      </c>
      <c r="D14" s="24" t="str">
        <f t="shared" si="0"/>
        <v>yes</v>
      </c>
      <c r="E14"/>
    </row>
    <row r="15" spans="1:5" s="18" customFormat="1" ht="15">
      <c r="A15" s="22"/>
      <c r="B15" s="22" t="s">
        <v>34</v>
      </c>
      <c r="C15" s="24">
        <v>81</v>
      </c>
      <c r="D15" s="24" t="str">
        <f t="shared" si="0"/>
        <v/>
      </c>
      <c r="E15"/>
    </row>
    <row r="16" spans="1:5" s="18" customFormat="1" ht="15">
      <c r="A16" s="22" t="s">
        <v>47</v>
      </c>
      <c r="B16"/>
      <c r="C16" s="24">
        <v>54</v>
      </c>
      <c r="D16" s="24" t="str">
        <f t="shared" si="0"/>
        <v>no</v>
      </c>
      <c r="E16"/>
    </row>
    <row r="17" spans="1:5" s="18" customFormat="1" ht="15">
      <c r="A17" s="22"/>
      <c r="B17" s="22" t="s">
        <v>46</v>
      </c>
      <c r="C17" s="24">
        <v>54</v>
      </c>
      <c r="D17" s="24" t="str">
        <f t="shared" si="0"/>
        <v/>
      </c>
      <c r="E17"/>
    </row>
    <row r="18" spans="1:5" s="18" customFormat="1" ht="15">
      <c r="A18" s="22" t="s">
        <v>10</v>
      </c>
      <c r="B18"/>
      <c r="C18" s="24">
        <v>111</v>
      </c>
      <c r="D18" s="24" t="str">
        <f t="shared" si="0"/>
        <v>yes</v>
      </c>
      <c r="E18"/>
    </row>
    <row r="19" spans="1:5" s="18" customFormat="1" ht="15">
      <c r="A19" s="22"/>
      <c r="B19" s="22" t="s">
        <v>9</v>
      </c>
      <c r="C19" s="24">
        <v>75</v>
      </c>
      <c r="D19" s="24" t="str">
        <f t="shared" si="0"/>
        <v/>
      </c>
      <c r="E19"/>
    </row>
    <row r="20" spans="1:5" s="18" customFormat="1" ht="15">
      <c r="A20" s="22"/>
      <c r="B20" s="22" t="s">
        <v>15</v>
      </c>
      <c r="C20" s="24">
        <v>36</v>
      </c>
      <c r="D20" s="24" t="str">
        <f t="shared" si="0"/>
        <v/>
      </c>
      <c r="E20"/>
    </row>
    <row r="21" spans="1:5" s="18" customFormat="1" ht="15">
      <c r="A21" s="22" t="s">
        <v>13</v>
      </c>
      <c r="B21"/>
      <c r="C21" s="24">
        <v>40</v>
      </c>
      <c r="D21" s="24" t="str">
        <f t="shared" si="0"/>
        <v>no</v>
      </c>
      <c r="E21"/>
    </row>
    <row r="22" spans="1:5" s="18" customFormat="1" ht="15">
      <c r="A22" s="22"/>
      <c r="B22" s="22" t="s">
        <v>12</v>
      </c>
      <c r="C22" s="24">
        <v>40</v>
      </c>
      <c r="D22" s="24" t="str">
        <f t="shared" si="0"/>
        <v/>
      </c>
      <c r="E22"/>
    </row>
    <row r="23" spans="1:5" s="18" customFormat="1" ht="15">
      <c r="A23" s="22" t="s">
        <v>44</v>
      </c>
      <c r="B23"/>
      <c r="C23" s="24">
        <v>43</v>
      </c>
      <c r="D23" s="24" t="str">
        <f t="shared" si="0"/>
        <v>no</v>
      </c>
      <c r="E23"/>
    </row>
    <row r="24" spans="1:5" s="18" customFormat="1" ht="15">
      <c r="A24" s="22"/>
      <c r="B24" s="22" t="s">
        <v>43</v>
      </c>
      <c r="C24" s="24">
        <v>43</v>
      </c>
      <c r="D24" s="24" t="str">
        <f t="shared" si="0"/>
        <v/>
      </c>
      <c r="E24"/>
    </row>
    <row r="25" spans="1:5" s="18" customFormat="1" ht="15">
      <c r="A25" s="22" t="s">
        <v>40</v>
      </c>
      <c r="B25"/>
      <c r="C25" s="24">
        <v>35</v>
      </c>
      <c r="D25" s="24" t="str">
        <f t="shared" si="0"/>
        <v>no</v>
      </c>
      <c r="E25"/>
    </row>
    <row r="26" spans="1:5" s="18" customFormat="1" ht="15">
      <c r="A26" s="22"/>
      <c r="B26" s="22" t="s">
        <v>39</v>
      </c>
      <c r="C26" s="24">
        <v>35</v>
      </c>
      <c r="D26" s="24" t="str">
        <f t="shared" si="0"/>
        <v/>
      </c>
      <c r="E26"/>
    </row>
    <row r="27" spans="1:5" s="18" customFormat="1" ht="15">
      <c r="A27" s="22" t="s">
        <v>28</v>
      </c>
      <c r="B27"/>
      <c r="C27" s="24">
        <v>34</v>
      </c>
      <c r="D27" s="24" t="str">
        <f t="shared" si="0"/>
        <v>no</v>
      </c>
      <c r="E27"/>
    </row>
    <row r="28" spans="1:5" s="18" customFormat="1" ht="15">
      <c r="A28" s="22"/>
      <c r="B28" s="22" t="s">
        <v>27</v>
      </c>
      <c r="C28" s="24">
        <v>34</v>
      </c>
      <c r="D28" s="24" t="str">
        <f t="shared" si="0"/>
        <v/>
      </c>
      <c r="E28"/>
    </row>
    <row r="29" spans="1:5" s="18" customFormat="1" ht="15">
      <c r="A29" s="22" t="s">
        <v>25</v>
      </c>
      <c r="B29"/>
      <c r="C29" s="24">
        <v>36</v>
      </c>
      <c r="D29" s="24" t="str">
        <f t="shared" si="0"/>
        <v>no</v>
      </c>
      <c r="E29"/>
    </row>
    <row r="30" spans="1:5" s="18" customFormat="1" ht="15">
      <c r="A30" s="22"/>
      <c r="B30" s="22" t="s">
        <v>24</v>
      </c>
      <c r="C30" s="24">
        <v>36</v>
      </c>
      <c r="D30" s="24" t="str">
        <f t="shared" si="0"/>
        <v/>
      </c>
      <c r="E30"/>
    </row>
    <row r="31" spans="1:5" s="18" customFormat="1" ht="15">
      <c r="A31" s="22" t="s">
        <v>18</v>
      </c>
      <c r="B31"/>
      <c r="C31" s="24">
        <v>49</v>
      </c>
      <c r="D31" s="24" t="str">
        <f t="shared" si="0"/>
        <v>no</v>
      </c>
      <c r="E31"/>
    </row>
    <row r="32" spans="1:5" s="18" customFormat="1" ht="15">
      <c r="A32" s="22"/>
      <c r="B32" s="22" t="s">
        <v>17</v>
      </c>
      <c r="C32" s="24">
        <v>49</v>
      </c>
      <c r="D32" s="24" t="str">
        <f t="shared" si="0"/>
        <v/>
      </c>
      <c r="E32"/>
    </row>
    <row r="33" spans="1:5" s="18" customFormat="1" ht="15">
      <c r="A33" s="22" t="s">
        <v>74</v>
      </c>
      <c r="B33"/>
      <c r="C33" s="24">
        <v>57</v>
      </c>
      <c r="D33" s="24" t="str">
        <f t="shared" si="0"/>
        <v>no</v>
      </c>
      <c r="E33"/>
    </row>
    <row r="34" spans="1:5" s="18" customFormat="1" ht="15">
      <c r="A34" s="22"/>
      <c r="B34" s="22" t="s">
        <v>73</v>
      </c>
      <c r="C34" s="24">
        <v>57</v>
      </c>
      <c r="D34" s="24" t="str">
        <f t="shared" si="0"/>
        <v/>
      </c>
      <c r="E34"/>
    </row>
    <row r="35" spans="1:5" s="18" customFormat="1" ht="15">
      <c r="A35" s="22" t="s">
        <v>55</v>
      </c>
      <c r="B35"/>
      <c r="C35" s="24">
        <v>38</v>
      </c>
      <c r="D35" s="24" t="str">
        <f t="shared" si="0"/>
        <v>no</v>
      </c>
      <c r="E35"/>
    </row>
    <row r="36" spans="1:5" s="18" customFormat="1" ht="15">
      <c r="A36" s="22"/>
      <c r="B36" s="22" t="s">
        <v>54</v>
      </c>
      <c r="C36" s="24">
        <v>38</v>
      </c>
      <c r="D36" s="24" t="str">
        <f t="shared" si="0"/>
        <v/>
      </c>
      <c r="E36"/>
    </row>
    <row r="37" spans="1:5" s="18" customFormat="1" ht="15">
      <c r="A37" s="22" t="s">
        <v>62</v>
      </c>
      <c r="B37"/>
      <c r="C37" s="24">
        <v>88</v>
      </c>
      <c r="D37" s="24" t="str">
        <f t="shared" si="0"/>
        <v>yes</v>
      </c>
      <c r="E37"/>
    </row>
    <row r="38" spans="1:5" s="18" customFormat="1" ht="15">
      <c r="A38" s="22"/>
      <c r="B38" s="22" t="s">
        <v>61</v>
      </c>
      <c r="C38" s="24">
        <v>42</v>
      </c>
      <c r="D38" s="24" t="str">
        <f t="shared" si="0"/>
        <v/>
      </c>
      <c r="E38"/>
    </row>
    <row r="39" spans="1:5" s="18" customFormat="1" ht="15">
      <c r="A39" s="22"/>
      <c r="B39" s="22" t="s">
        <v>81</v>
      </c>
      <c r="C39" s="24">
        <v>46</v>
      </c>
      <c r="D39" s="24" t="str">
        <f t="shared" si="0"/>
        <v/>
      </c>
      <c r="E39"/>
    </row>
    <row r="40" spans="1:5" s="18" customFormat="1" ht="15">
      <c r="A40" s="20" t="s">
        <v>247</v>
      </c>
      <c r="B40" s="20"/>
      <c r="C40" s="19">
        <v>1019</v>
      </c>
      <c r="D40" s="19"/>
      <c r="E40"/>
    </row>
    <row r="41" spans="1:5" s="18" customFormat="1" ht="15">
      <c r="A41"/>
      <c r="B41"/>
      <c r="C41" s="19"/>
      <c r="D41" s="19"/>
      <c r="E41"/>
    </row>
    <row r="42" spans="1:5" s="18" customFormat="1" ht="15">
      <c r="A42"/>
      <c r="B42"/>
      <c r="C42" s="19"/>
      <c r="D42" s="19"/>
      <c r="E42"/>
    </row>
    <row r="43" spans="1:5" s="18" customFormat="1" ht="15">
      <c r="A43"/>
      <c r="B43"/>
      <c r="C43" s="19"/>
      <c r="D43" s="19"/>
      <c r="E43"/>
    </row>
    <row r="44" spans="1:5" s="18" customFormat="1" ht="15">
      <c r="A44"/>
      <c r="B44"/>
      <c r="C44" s="19"/>
      <c r="D44" s="21"/>
    </row>
    <row r="45" spans="1:5" s="18" customFormat="1" ht="15">
      <c r="A45"/>
      <c r="B45"/>
      <c r="C45" s="19"/>
      <c r="D45" s="21"/>
    </row>
    <row r="46" spans="1:5" s="18" customFormat="1" ht="15">
      <c r="A46"/>
      <c r="B46"/>
      <c r="C46" s="19"/>
      <c r="D46" s="21"/>
    </row>
    <row r="47" spans="1:5" s="18" customFormat="1" ht="15">
      <c r="A47"/>
      <c r="B47"/>
      <c r="C47" s="19"/>
      <c r="D47" s="21"/>
    </row>
    <row r="48" spans="1:5" s="18" customFormat="1" ht="15">
      <c r="A48"/>
      <c r="B48"/>
      <c r="C48" s="19"/>
      <c r="D48" s="21"/>
    </row>
    <row r="49" spans="1:4" s="18" customFormat="1" ht="15">
      <c r="A49"/>
      <c r="B49"/>
      <c r="C49" s="19"/>
      <c r="D49" s="21"/>
    </row>
    <row r="50" spans="1:4" s="18" customFormat="1" ht="15">
      <c r="A50"/>
      <c r="B50"/>
      <c r="C50" s="19"/>
      <c r="D50" s="21"/>
    </row>
    <row r="51" spans="1:4" s="18" customFormat="1" ht="15">
      <c r="A51"/>
      <c r="B51"/>
      <c r="C51" s="19"/>
      <c r="D51" s="21"/>
    </row>
    <row r="52" spans="1:4" s="18" customFormat="1" ht="15">
      <c r="A52"/>
      <c r="B52"/>
      <c r="C52" s="19"/>
      <c r="D52" s="21"/>
    </row>
    <row r="53" spans="1:4" s="18" customFormat="1" ht="15">
      <c r="A53"/>
      <c r="B53"/>
      <c r="C53" s="19"/>
      <c r="D53" s="21"/>
    </row>
    <row r="54" spans="1:4" s="18" customFormat="1" ht="15">
      <c r="A54"/>
      <c r="B54"/>
      <c r="C54" s="19"/>
      <c r="D54" s="21"/>
    </row>
    <row r="55" spans="1:4" s="18" customFormat="1" ht="15">
      <c r="A55"/>
      <c r="B55"/>
      <c r="C55" s="19"/>
      <c r="D55" s="21"/>
    </row>
    <row r="56" spans="1:4" s="18" customFormat="1" ht="15">
      <c r="A56"/>
      <c r="B56"/>
      <c r="C56" s="19"/>
      <c r="D56" s="21"/>
    </row>
    <row r="57" spans="1:4" s="18" customFormat="1" ht="15">
      <c r="A57"/>
      <c r="B57"/>
      <c r="C57" s="19"/>
      <c r="D57" s="21"/>
    </row>
    <row r="58" spans="1:4" s="18" customFormat="1" ht="15">
      <c r="A58"/>
      <c r="B58"/>
      <c r="C58" s="19"/>
      <c r="D58" s="21"/>
    </row>
    <row r="59" spans="1:4" s="18" customFormat="1" ht="15">
      <c r="A59"/>
      <c r="B59"/>
      <c r="C59" s="19"/>
      <c r="D59" s="21"/>
    </row>
    <row r="60" spans="1:4" s="18" customFormat="1" ht="15">
      <c r="A60"/>
      <c r="B60"/>
      <c r="C60" s="19"/>
      <c r="D60" s="21"/>
    </row>
    <row r="61" spans="1:4" s="18" customFormat="1" ht="15">
      <c r="A61"/>
      <c r="B61"/>
      <c r="C61" s="19"/>
      <c r="D61" s="21"/>
    </row>
    <row r="62" spans="1:4" s="18" customFormat="1" ht="15">
      <c r="A62"/>
      <c r="B62"/>
      <c r="C62" s="19"/>
      <c r="D62" s="21"/>
    </row>
    <row r="63" spans="1:4" s="18" customFormat="1" ht="15">
      <c r="A63"/>
      <c r="B63"/>
      <c r="C63" s="19"/>
      <c r="D63" s="21"/>
    </row>
    <row r="64" spans="1:4" s="18" customFormat="1" ht="15">
      <c r="A64"/>
      <c r="B64"/>
      <c r="C64" s="19"/>
      <c r="D64" s="21"/>
    </row>
    <row r="65" spans="1:4" s="18" customFormat="1" ht="15">
      <c r="A65"/>
      <c r="B65"/>
      <c r="C65" s="19"/>
      <c r="D65" s="21"/>
    </row>
    <row r="66" spans="1:4" s="18" customFormat="1" ht="15">
      <c r="A66"/>
      <c r="B66"/>
      <c r="C66" s="19"/>
      <c r="D66" s="21"/>
    </row>
    <row r="67" spans="1:4" s="18" customFormat="1" ht="15">
      <c r="A67"/>
      <c r="B67"/>
      <c r="C67" s="19"/>
      <c r="D67" s="21"/>
    </row>
    <row r="68" spans="1:4" s="18" customFormat="1" ht="15">
      <c r="A68"/>
      <c r="B68"/>
      <c r="C68" s="19"/>
      <c r="D68" s="21"/>
    </row>
    <row r="69" spans="1:4" s="18" customFormat="1" ht="15">
      <c r="A69"/>
      <c r="B69"/>
      <c r="C69" s="19"/>
      <c r="D69" s="21"/>
    </row>
    <row r="70" spans="1:4" s="18" customFormat="1" ht="15">
      <c r="A70"/>
      <c r="B70"/>
      <c r="C70" s="19"/>
      <c r="D70" s="21"/>
    </row>
    <row r="71" spans="1:4" s="18" customFormat="1" ht="15">
      <c r="A71"/>
      <c r="B71"/>
      <c r="C71" s="19"/>
      <c r="D71" s="21"/>
    </row>
    <row r="72" spans="1:4" s="18" customFormat="1" ht="15">
      <c r="A72"/>
      <c r="B72"/>
      <c r="C72" s="19"/>
      <c r="D72" s="21"/>
    </row>
    <row r="73" spans="1:4" s="18" customFormat="1" ht="15">
      <c r="A73"/>
      <c r="B73"/>
      <c r="C73" s="19"/>
      <c r="D73" s="21"/>
    </row>
    <row r="74" spans="1:4" s="18" customFormat="1" ht="15">
      <c r="A74"/>
      <c r="B74"/>
      <c r="C74" s="19"/>
      <c r="D74" s="21"/>
    </row>
    <row r="75" spans="1:4" s="18" customFormat="1" ht="15">
      <c r="A75"/>
      <c r="B75"/>
      <c r="C75" s="19"/>
      <c r="D75" s="21"/>
    </row>
    <row r="76" spans="1:4" s="18" customFormat="1" ht="15">
      <c r="A76"/>
      <c r="B76"/>
      <c r="C76" s="19"/>
      <c r="D76" s="21"/>
    </row>
    <row r="77" spans="1:4" s="18" customFormat="1" ht="15">
      <c r="A77"/>
      <c r="B77"/>
      <c r="C77" s="19"/>
      <c r="D77" s="21"/>
    </row>
    <row r="78" spans="1:4" s="18" customFormat="1" ht="15">
      <c r="C78" s="21"/>
      <c r="D78" s="21"/>
    </row>
    <row r="79" spans="1:4" s="18" customFormat="1" ht="15">
      <c r="C79" s="21"/>
      <c r="D79" s="21"/>
    </row>
    <row r="80" spans="1:4" s="18" customFormat="1" ht="15">
      <c r="C80" s="21"/>
      <c r="D80" s="21"/>
    </row>
    <row r="81" spans="3:4" s="18" customFormat="1" ht="15">
      <c r="C81" s="21"/>
      <c r="D81" s="21"/>
    </row>
    <row r="82" spans="3:4" s="18" customFormat="1" ht="15">
      <c r="C82" s="21"/>
      <c r="D82" s="21"/>
    </row>
    <row r="83" spans="3:4" s="18" customFormat="1" ht="15">
      <c r="C83" s="21"/>
      <c r="D83" s="21"/>
    </row>
    <row r="84" spans="3:4" s="18" customFormat="1" ht="15">
      <c r="C84" s="21"/>
      <c r="D84" s="21"/>
    </row>
    <row r="85" spans="3:4" s="18" customFormat="1" ht="15">
      <c r="C85" s="21"/>
      <c r="D85" s="21"/>
    </row>
    <row r="86" spans="3:4" s="18" customFormat="1" ht="15">
      <c r="C86" s="21"/>
      <c r="D86" s="21"/>
    </row>
    <row r="87" spans="3:4" s="18" customFormat="1" ht="15">
      <c r="C87" s="21"/>
      <c r="D87" s="21"/>
    </row>
    <row r="88" spans="3:4" s="18" customFormat="1" ht="15">
      <c r="C88" s="21"/>
      <c r="D88" s="21"/>
    </row>
    <row r="89" spans="3:4" s="18" customFormat="1" ht="15">
      <c r="C89" s="21"/>
      <c r="D89" s="21"/>
    </row>
    <row r="90" spans="3:4" s="18" customFormat="1" ht="15">
      <c r="C90" s="21"/>
      <c r="D90" s="21"/>
    </row>
    <row r="91" spans="3:4" s="18" customFormat="1" ht="15">
      <c r="C91" s="21"/>
      <c r="D91" s="21"/>
    </row>
    <row r="92" spans="3:4" s="18" customFormat="1" ht="15">
      <c r="C92" s="21"/>
      <c r="D92" s="21"/>
    </row>
    <row r="93" spans="3:4" s="18" customFormat="1" ht="15">
      <c r="C93" s="21"/>
      <c r="D93" s="21"/>
    </row>
    <row r="94" spans="3:4" s="18" customFormat="1" ht="15">
      <c r="C94" s="21"/>
      <c r="D94" s="21"/>
    </row>
    <row r="95" spans="3:4" s="18" customFormat="1" ht="15">
      <c r="C95" s="21"/>
      <c r="D95" s="21"/>
    </row>
    <row r="96" spans="3:4" s="18" customFormat="1" ht="15">
      <c r="C96" s="21"/>
      <c r="D96" s="21"/>
    </row>
    <row r="97" spans="3:4" s="18" customFormat="1" ht="15">
      <c r="C97" s="21"/>
      <c r="D97" s="21"/>
    </row>
    <row r="98" spans="3:4" s="18" customFormat="1" ht="15">
      <c r="C98" s="21"/>
      <c r="D98" s="21"/>
    </row>
    <row r="99" spans="3:4" s="18" customFormat="1" ht="15">
      <c r="C99" s="21"/>
      <c r="D99" s="21"/>
    </row>
    <row r="100" spans="3:4" s="18" customFormat="1" ht="15">
      <c r="C100" s="21"/>
      <c r="D100" s="21"/>
    </row>
    <row r="101" spans="3:4" s="18" customFormat="1" ht="15">
      <c r="C101" s="21"/>
      <c r="D101" s="21"/>
    </row>
    <row r="102" spans="3:4" s="18" customFormat="1" ht="15">
      <c r="C102" s="21"/>
      <c r="D102" s="21"/>
    </row>
    <row r="103" spans="3:4" s="18" customFormat="1" ht="15">
      <c r="C103" s="21"/>
      <c r="D103" s="21"/>
    </row>
    <row r="104" spans="3:4" s="18" customFormat="1" ht="15">
      <c r="C104" s="21"/>
      <c r="D104" s="21"/>
    </row>
    <row r="105" spans="3:4" s="18" customFormat="1" ht="15">
      <c r="C105" s="21"/>
      <c r="D105" s="21"/>
    </row>
    <row r="106" spans="3:4" s="18" customFormat="1" ht="15">
      <c r="C106" s="21"/>
      <c r="D106" s="21"/>
    </row>
    <row r="107" spans="3:4" s="18" customFormat="1" ht="15">
      <c r="C107" s="21"/>
      <c r="D107" s="21"/>
    </row>
    <row r="108" spans="3:4" s="18" customFormat="1" ht="15">
      <c r="C108" s="21"/>
      <c r="D108" s="21"/>
    </row>
    <row r="109" spans="3:4" s="18" customFormat="1" ht="15">
      <c r="C109" s="21"/>
      <c r="D109" s="21"/>
    </row>
    <row r="110" spans="3:4" s="18" customFormat="1" ht="15">
      <c r="C110" s="21"/>
      <c r="D110" s="21"/>
    </row>
    <row r="111" spans="3:4" s="18" customFormat="1" ht="15">
      <c r="C111" s="21"/>
      <c r="D111" s="21"/>
    </row>
    <row r="112" spans="3:4" s="18" customFormat="1" ht="15">
      <c r="C112" s="21"/>
      <c r="D112" s="21"/>
    </row>
    <row r="113" spans="3:4" s="18" customFormat="1" ht="15">
      <c r="C113" s="21"/>
      <c r="D113" s="21"/>
    </row>
    <row r="114" spans="3:4" s="18" customFormat="1" ht="15">
      <c r="C114" s="21"/>
      <c r="D114" s="21"/>
    </row>
    <row r="115" spans="3:4" s="18" customFormat="1" ht="15">
      <c r="C115" s="21"/>
      <c r="D115" s="21"/>
    </row>
    <row r="116" spans="3:4" s="18" customFormat="1" ht="15">
      <c r="C116" s="21"/>
      <c r="D116" s="21"/>
    </row>
    <row r="117" spans="3:4" s="18" customFormat="1" ht="15">
      <c r="C117" s="21"/>
      <c r="D117" s="21"/>
    </row>
    <row r="118" spans="3:4" s="18" customFormat="1" ht="15">
      <c r="C118" s="21"/>
      <c r="D118" s="21"/>
    </row>
    <row r="119" spans="3:4" s="18" customFormat="1" ht="15">
      <c r="C119" s="21"/>
      <c r="D119" s="21"/>
    </row>
    <row r="120" spans="3:4" s="18" customFormat="1" ht="15">
      <c r="C120" s="21"/>
      <c r="D120" s="21"/>
    </row>
    <row r="121" spans="3:4" s="18" customFormat="1" ht="15">
      <c r="C121" s="21"/>
      <c r="D121" s="21"/>
    </row>
    <row r="122" spans="3:4" s="18" customFormat="1" ht="15">
      <c r="C122" s="21"/>
      <c r="D122" s="21"/>
    </row>
    <row r="123" spans="3:4" s="18" customFormat="1" ht="15">
      <c r="C123" s="21"/>
      <c r="D123" s="21"/>
    </row>
    <row r="124" spans="3:4" s="18" customFormat="1" ht="15">
      <c r="C124" s="21"/>
      <c r="D124" s="21"/>
    </row>
    <row r="125" spans="3:4" s="18" customFormat="1" ht="15">
      <c r="C125" s="21"/>
      <c r="D125" s="21"/>
    </row>
    <row r="126" spans="3:4" s="18" customFormat="1" ht="15">
      <c r="C126" s="21"/>
      <c r="D126" s="21"/>
    </row>
    <row r="127" spans="3:4" s="18" customFormat="1" ht="15">
      <c r="C127" s="21"/>
      <c r="D127" s="21"/>
    </row>
    <row r="128" spans="3:4" s="18" customFormat="1" ht="15">
      <c r="C128" s="21"/>
      <c r="D128" s="21"/>
    </row>
    <row r="129" spans="3:4" s="18" customFormat="1" ht="15">
      <c r="C129" s="21"/>
      <c r="D129" s="21"/>
    </row>
    <row r="130" spans="3:4" s="18" customFormat="1" ht="15">
      <c r="C130" s="21"/>
      <c r="D130" s="21"/>
    </row>
    <row r="131" spans="3:4" s="18" customFormat="1" ht="15">
      <c r="C131" s="21"/>
      <c r="D131" s="21"/>
    </row>
    <row r="132" spans="3:4" s="18" customFormat="1" ht="15">
      <c r="C132" s="21"/>
      <c r="D132" s="21"/>
    </row>
    <row r="133" spans="3:4" s="18" customFormat="1" ht="15">
      <c r="C133" s="21"/>
      <c r="D133" s="21"/>
    </row>
    <row r="134" spans="3:4" s="18" customFormat="1" ht="15">
      <c r="C134" s="21"/>
      <c r="D134" s="21"/>
    </row>
    <row r="135" spans="3:4" s="18" customFormat="1" ht="15">
      <c r="C135" s="21"/>
      <c r="D135" s="21"/>
    </row>
    <row r="136" spans="3:4" s="18" customFormat="1" ht="15">
      <c r="C136" s="21"/>
      <c r="D136" s="21"/>
    </row>
    <row r="137" spans="3:4" s="18" customFormat="1" ht="15">
      <c r="C137" s="21"/>
      <c r="D137" s="21"/>
    </row>
    <row r="138" spans="3:4" s="18" customFormat="1" ht="15">
      <c r="C138" s="21"/>
      <c r="D138" s="21"/>
    </row>
    <row r="139" spans="3:4" s="18" customFormat="1" ht="15">
      <c r="C139" s="21"/>
      <c r="D139" s="21"/>
    </row>
    <row r="140" spans="3:4" s="18" customFormat="1" ht="15">
      <c r="C140" s="21"/>
      <c r="D140" s="21"/>
    </row>
    <row r="141" spans="3:4" s="18" customFormat="1" ht="15">
      <c r="C141" s="21"/>
      <c r="D141" s="21"/>
    </row>
    <row r="142" spans="3:4" s="18" customFormat="1" ht="15">
      <c r="C142" s="21"/>
      <c r="D142" s="21"/>
    </row>
    <row r="143" spans="3:4" s="18" customFormat="1" ht="15">
      <c r="C143" s="21"/>
      <c r="D143" s="21"/>
    </row>
    <row r="144" spans="3:4" s="18" customFormat="1" ht="15">
      <c r="C144" s="21"/>
      <c r="D144" s="21"/>
    </row>
    <row r="145" spans="3:4" s="18" customFormat="1" ht="15">
      <c r="C145" s="21"/>
      <c r="D145" s="21"/>
    </row>
    <row r="146" spans="3:4" s="18" customFormat="1" ht="15">
      <c r="C146" s="21"/>
      <c r="D146" s="21"/>
    </row>
    <row r="147" spans="3:4" s="18" customFormat="1" ht="15">
      <c r="C147" s="21"/>
      <c r="D147" s="21"/>
    </row>
    <row r="148" spans="3:4" s="18" customFormat="1" ht="15">
      <c r="C148" s="21"/>
      <c r="D148" s="21"/>
    </row>
    <row r="149" spans="3:4" s="18" customFormat="1" ht="15">
      <c r="C149" s="21"/>
      <c r="D149" s="21"/>
    </row>
    <row r="150" spans="3:4" s="18" customFormat="1" ht="15">
      <c r="C150" s="21"/>
      <c r="D150" s="21"/>
    </row>
    <row r="151" spans="3:4" s="18" customFormat="1" ht="15">
      <c r="C151" s="21"/>
      <c r="D151" s="21"/>
    </row>
    <row r="152" spans="3:4" s="18" customFormat="1" ht="15">
      <c r="C152" s="21"/>
      <c r="D152" s="21"/>
    </row>
    <row r="153" spans="3:4" s="18" customFormat="1" ht="15">
      <c r="C153" s="21"/>
      <c r="D153" s="21"/>
    </row>
    <row r="154" spans="3:4" s="18" customFormat="1" ht="15">
      <c r="C154" s="21"/>
      <c r="D154" s="21"/>
    </row>
    <row r="155" spans="3:4" s="18" customFormat="1" ht="15">
      <c r="C155" s="21"/>
      <c r="D155" s="21"/>
    </row>
    <row r="156" spans="3:4" s="18" customFormat="1" ht="15">
      <c r="C156" s="21"/>
      <c r="D156" s="21"/>
    </row>
    <row r="157" spans="3:4" s="18" customFormat="1" ht="15">
      <c r="C157" s="21"/>
      <c r="D157" s="21"/>
    </row>
    <row r="158" spans="3:4" s="18" customFormat="1" ht="15">
      <c r="C158" s="21"/>
      <c r="D158" s="21"/>
    </row>
    <row r="159" spans="3:4" s="18" customFormat="1" ht="15">
      <c r="C159" s="21"/>
      <c r="D159" s="21"/>
    </row>
    <row r="160" spans="3:4" s="18" customFormat="1" ht="15">
      <c r="C160" s="21"/>
      <c r="D160" s="21"/>
    </row>
    <row r="161" spans="3:4" s="18" customFormat="1" ht="15">
      <c r="C161" s="21"/>
      <c r="D161" s="21"/>
    </row>
    <row r="162" spans="3:4" s="18" customFormat="1" ht="15">
      <c r="C162" s="21"/>
      <c r="D162" s="21"/>
    </row>
    <row r="163" spans="3:4" s="18" customFormat="1" ht="15">
      <c r="C163" s="21"/>
      <c r="D163" s="21"/>
    </row>
    <row r="164" spans="3:4" s="18" customFormat="1" ht="15">
      <c r="C164" s="21"/>
      <c r="D164" s="21"/>
    </row>
    <row r="165" spans="3:4" s="18" customFormat="1" ht="15">
      <c r="C165" s="21"/>
      <c r="D165" s="21"/>
    </row>
    <row r="166" spans="3:4" s="18" customFormat="1" ht="15">
      <c r="C166" s="21"/>
      <c r="D166" s="21"/>
    </row>
    <row r="167" spans="3:4" s="18" customFormat="1" ht="15">
      <c r="C167" s="21"/>
      <c r="D167" s="21"/>
    </row>
    <row r="168" spans="3:4" s="18" customFormat="1" ht="15">
      <c r="C168" s="21"/>
      <c r="D168" s="21"/>
    </row>
    <row r="169" spans="3:4" s="18" customFormat="1" ht="15">
      <c r="C169" s="21"/>
      <c r="D169" s="21"/>
    </row>
    <row r="170" spans="3:4" s="18" customFormat="1" ht="15">
      <c r="C170" s="21"/>
      <c r="D170" s="21"/>
    </row>
    <row r="171" spans="3:4" s="18" customFormat="1" ht="15">
      <c r="C171" s="21"/>
      <c r="D171" s="21"/>
    </row>
    <row r="172" spans="3:4" s="18" customFormat="1" ht="15">
      <c r="C172" s="21"/>
      <c r="D172" s="21"/>
    </row>
    <row r="173" spans="3:4" s="18" customFormat="1" ht="15">
      <c r="C173" s="21"/>
      <c r="D173" s="21"/>
    </row>
    <row r="174" spans="3:4" s="18" customFormat="1" ht="15">
      <c r="C174" s="21"/>
      <c r="D174" s="21"/>
    </row>
    <row r="175" spans="3:4" s="18" customFormat="1" ht="15">
      <c r="C175" s="21"/>
      <c r="D175" s="21"/>
    </row>
    <row r="176" spans="3:4" s="18" customFormat="1" ht="15">
      <c r="C176" s="21"/>
      <c r="D176" s="21"/>
    </row>
    <row r="177" spans="3:4" s="18" customFormat="1" ht="15">
      <c r="C177" s="21"/>
      <c r="D177" s="21"/>
    </row>
    <row r="178" spans="3:4" s="18" customFormat="1" ht="15">
      <c r="C178" s="21"/>
      <c r="D178" s="21"/>
    </row>
    <row r="179" spans="3:4" s="18" customFormat="1" ht="15">
      <c r="C179" s="21"/>
      <c r="D179" s="21"/>
    </row>
    <row r="180" spans="3:4" s="18" customFormat="1" ht="15">
      <c r="C180" s="21"/>
      <c r="D180" s="21"/>
    </row>
    <row r="181" spans="3:4" s="18" customFormat="1" ht="15">
      <c r="C181" s="21"/>
      <c r="D181" s="21"/>
    </row>
    <row r="182" spans="3:4" s="18" customFormat="1" ht="15">
      <c r="C182" s="21"/>
      <c r="D182" s="21"/>
    </row>
    <row r="183" spans="3:4" s="18" customFormat="1" ht="15">
      <c r="C183" s="21"/>
      <c r="D183" s="21"/>
    </row>
    <row r="184" spans="3:4" s="18" customFormat="1" ht="15">
      <c r="C184" s="21"/>
      <c r="D184" s="21"/>
    </row>
    <row r="185" spans="3:4" s="18" customFormat="1" ht="15">
      <c r="C185" s="21"/>
      <c r="D185" s="21"/>
    </row>
    <row r="186" spans="3:4" s="18" customFormat="1" ht="15">
      <c r="C186" s="21"/>
      <c r="D186" s="21"/>
    </row>
    <row r="187" spans="3:4" s="18" customFormat="1" ht="15">
      <c r="C187" s="21"/>
      <c r="D187" s="21"/>
    </row>
    <row r="188" spans="3:4" s="18" customFormat="1" ht="15">
      <c r="C188" s="21"/>
      <c r="D188" s="21"/>
    </row>
    <row r="189" spans="3:4" s="18" customFormat="1" ht="15">
      <c r="C189" s="21"/>
      <c r="D189" s="21"/>
    </row>
    <row r="190" spans="3:4" s="18" customFormat="1" ht="15">
      <c r="C190" s="21"/>
      <c r="D190" s="21"/>
    </row>
    <row r="191" spans="3:4" s="18" customFormat="1" ht="15">
      <c r="C191" s="21"/>
      <c r="D191" s="21"/>
    </row>
    <row r="192" spans="3:4" s="18" customFormat="1" ht="15">
      <c r="C192" s="21"/>
      <c r="D192" s="21"/>
    </row>
    <row r="193" spans="3:4" s="18" customFormat="1" ht="15">
      <c r="C193" s="21"/>
      <c r="D193" s="21"/>
    </row>
    <row r="194" spans="3:4" s="18" customFormat="1" ht="15">
      <c r="C194" s="21"/>
      <c r="D194" s="21"/>
    </row>
    <row r="195" spans="3:4" s="18" customFormat="1" ht="15">
      <c r="C195" s="21"/>
      <c r="D195" s="21"/>
    </row>
    <row r="196" spans="3:4" s="18" customFormat="1" ht="15">
      <c r="C196" s="21"/>
      <c r="D196" s="21"/>
    </row>
    <row r="197" spans="3:4" s="18" customFormat="1" ht="15">
      <c r="C197" s="21"/>
      <c r="D197" s="21"/>
    </row>
    <row r="198" spans="3:4" s="18" customFormat="1" ht="15">
      <c r="C198" s="21"/>
      <c r="D198" s="21"/>
    </row>
    <row r="199" spans="3:4" s="18" customFormat="1" ht="15">
      <c r="C199" s="21"/>
      <c r="D199" s="21"/>
    </row>
    <row r="200" spans="3:4" s="18" customFormat="1" ht="15">
      <c r="C200" s="21"/>
      <c r="D200" s="21"/>
    </row>
    <row r="201" spans="3:4" s="18" customFormat="1" ht="15">
      <c r="C201" s="21"/>
      <c r="D201" s="21"/>
    </row>
  </sheetData>
  <pageMargins left="0.7" right="0.7" top="0.75" bottom="0.75" header="0.3" footer="0.3"/>
  <pageSetup paperSize="9" orientation="portrait" horizontalDpi="0" verticalDpi="0"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071CDE-2732-4A2D-91A4-70C93A416FEA}">
  <sheetPr filterMode="1"/>
  <dimension ref="A1:C212"/>
  <sheetViews>
    <sheetView showGridLines="0" workbookViewId="0">
      <selection activeCell="S37" sqref="S37"/>
    </sheetView>
  </sheetViews>
  <sheetFormatPr defaultRowHeight="12.75"/>
  <cols>
    <col min="1" max="1" width="11.85546875" bestFit="1" customWidth="1"/>
    <col min="2" max="2" width="10.5703125" bestFit="1" customWidth="1"/>
    <col min="3" max="3" width="9.140625" bestFit="1" customWidth="1"/>
  </cols>
  <sheetData>
    <row r="1" spans="1:3" ht="21" thickTop="1" thickBot="1">
      <c r="A1" s="46" t="s">
        <v>249</v>
      </c>
      <c r="B1" s="46" t="s">
        <v>250</v>
      </c>
      <c r="C1" s="46" t="s">
        <v>251</v>
      </c>
    </row>
    <row r="2" spans="1:3" ht="13.5" thickTop="1">
      <c r="A2" s="23" t="str">
        <f>'My trades'!A60</f>
        <v>hpvfzslv</v>
      </c>
      <c r="B2" s="23">
        <f>_xlfn.DAYS('My trades'!G60,'My trades'!D60)</f>
        <v>30</v>
      </c>
      <c r="C2" s="26">
        <f>('My trades'!H60-'My trades'!F60)*'My trades'!E60</f>
        <v>1.1391515254013935</v>
      </c>
    </row>
    <row r="3" spans="1:3">
      <c r="A3" s="23" t="str">
        <f>'My trades'!A113</f>
        <v>oplgqwal</v>
      </c>
      <c r="B3" s="23">
        <f>_xlfn.DAYS('My trades'!G113,'My trades'!D113)</f>
        <v>42</v>
      </c>
      <c r="C3" s="26">
        <f>('My trades'!H113-'My trades'!F113)*'My trades'!E113</f>
        <v>-6.4196120465471962</v>
      </c>
    </row>
    <row r="4" spans="1:3">
      <c r="A4" s="23" t="str">
        <f>'My trades'!A26</f>
        <v>dpaxyvrx</v>
      </c>
      <c r="B4" s="23">
        <f>_xlfn.DAYS('My trades'!G26,'My trades'!D26)</f>
        <v>51</v>
      </c>
      <c r="C4" s="26">
        <f>('My trades'!H26-'My trades'!F26)*'My trades'!E26</f>
        <v>-0.32528106858049388</v>
      </c>
    </row>
    <row r="5" spans="1:3">
      <c r="A5" s="23" t="str">
        <f>'My trades'!A101</f>
        <v>mxmztjnk</v>
      </c>
      <c r="B5" s="23">
        <f>_xlfn.DAYS('My trades'!G101,'My trades'!D101)</f>
        <v>57</v>
      </c>
      <c r="C5" s="26">
        <f>('My trades'!H101-'My trades'!F101)*'My trades'!E101</f>
        <v>1.1022958217852696</v>
      </c>
    </row>
    <row r="6" spans="1:3">
      <c r="A6" s="23" t="str">
        <f>'My trades'!A123</f>
        <v>pyljmfku</v>
      </c>
      <c r="B6" s="23">
        <f>_xlfn.DAYS('My trades'!G123,'My trades'!D123)</f>
        <v>58</v>
      </c>
      <c r="C6" s="26">
        <f>('My trades'!H123-'My trades'!F123)*'My trades'!E123</f>
        <v>-3.7137817771547201</v>
      </c>
    </row>
    <row r="7" spans="1:3">
      <c r="A7" s="23" t="str">
        <f>'My trades'!A103</f>
        <v>nheepbxg</v>
      </c>
      <c r="B7" s="23">
        <f>_xlfn.DAYS('My trades'!G103,'My trades'!D103)</f>
        <v>69</v>
      </c>
      <c r="C7" s="26">
        <f>('My trades'!H103-'My trades'!F103)*'My trades'!E103</f>
        <v>-2.6947242268262701</v>
      </c>
    </row>
    <row r="8" spans="1:3">
      <c r="A8" s="23" t="str">
        <f>'My trades'!A41</f>
        <v>fucpzbpk</v>
      </c>
      <c r="B8" s="23">
        <f>_xlfn.DAYS('My trades'!G41,'My trades'!D41)</f>
        <v>71</v>
      </c>
      <c r="C8" s="26">
        <f>('My trades'!H41-'My trades'!F41)*'My trades'!E41</f>
        <v>-1.6706742578156639</v>
      </c>
    </row>
    <row r="9" spans="1:3">
      <c r="A9" s="23" t="str">
        <f>'My trades'!A17</f>
        <v>ciykrilb</v>
      </c>
      <c r="B9" s="23">
        <f>_xlfn.DAYS('My trades'!G17,'My trades'!D17)</f>
        <v>78</v>
      </c>
      <c r="C9" s="26">
        <f>('My trades'!H17-'My trades'!F17)*'My trades'!E17</f>
        <v>-4.0381767903821597</v>
      </c>
    </row>
    <row r="10" spans="1:3">
      <c r="A10" s="23" t="str">
        <f>'My trades'!A187</f>
        <v>yjrqvwdc</v>
      </c>
      <c r="B10" s="23">
        <f>_xlfn.DAYS('My trades'!G187,'My trades'!D187)</f>
        <v>80</v>
      </c>
      <c r="C10" s="26">
        <f>('My trades'!H187-'My trades'!F187)*'My trades'!E187</f>
        <v>-0.13532525139256799</v>
      </c>
    </row>
    <row r="11" spans="1:3">
      <c r="A11" s="23" t="str">
        <f>'My trades'!A152</f>
        <v>twxakkhn</v>
      </c>
      <c r="B11" s="23">
        <f>_xlfn.DAYS('My trades'!G152,'My trades'!D152)</f>
        <v>87</v>
      </c>
      <c r="C11" s="26">
        <f>('My trades'!H152-'My trades'!F152)*'My trades'!E152</f>
        <v>2.3327160226114847</v>
      </c>
    </row>
    <row r="12" spans="1:3">
      <c r="A12" s="23" t="str">
        <f>'My trades'!A70</f>
        <v>jarhgmub</v>
      </c>
      <c r="B12" s="23">
        <f>_xlfn.DAYS('My trades'!G70,'My trades'!D70)</f>
        <v>88</v>
      </c>
      <c r="C12" s="26">
        <f>('My trades'!H70-'My trades'!F70)*'My trades'!E70</f>
        <v>0.4358493707488762</v>
      </c>
    </row>
    <row r="13" spans="1:3">
      <c r="A13" s="23" t="str">
        <f>'My trades'!A43</f>
        <v>gcndrwci</v>
      </c>
      <c r="B13" s="23">
        <f>_xlfn.DAYS('My trades'!G43,'My trades'!D43)</f>
        <v>106</v>
      </c>
      <c r="C13" s="26">
        <f>('My trades'!H43-'My trades'!F43)*'My trades'!E43</f>
        <v>1.7198007376601101</v>
      </c>
    </row>
    <row r="14" spans="1:3">
      <c r="A14" s="23" t="str">
        <f>'My trades'!A14</f>
        <v>cesjzpbs</v>
      </c>
      <c r="B14" s="23">
        <f>_xlfn.DAYS('My trades'!G14,'My trades'!D14)</f>
        <v>109</v>
      </c>
      <c r="C14" s="26">
        <f>('My trades'!H14-'My trades'!F14)*'My trades'!E14</f>
        <v>2.9151706939834798</v>
      </c>
    </row>
    <row r="15" spans="1:3">
      <c r="A15" s="23" t="str">
        <f>'My trades'!A145</f>
        <v>tgayvhvz</v>
      </c>
      <c r="B15" s="23">
        <f>_xlfn.DAYS('My trades'!G145,'My trades'!D145)</f>
        <v>123</v>
      </c>
      <c r="C15" s="26">
        <f>('My trades'!H145-'My trades'!F145)*'My trades'!E145</f>
        <v>0.63398606507953736</v>
      </c>
    </row>
    <row r="16" spans="1:3">
      <c r="A16" s="23" t="str">
        <f>'My trades'!A108</f>
        <v>nuleyiit</v>
      </c>
      <c r="B16" s="23">
        <f>_xlfn.DAYS('My trades'!G108,'My trades'!D108)</f>
        <v>126</v>
      </c>
      <c r="C16" s="26">
        <f>('My trades'!H108-'My trades'!F108)*'My trades'!E108</f>
        <v>2.067388635922967</v>
      </c>
    </row>
    <row r="17" spans="1:3">
      <c r="A17" s="23" t="str">
        <f>'My trades'!A38</f>
        <v>fjhbimle</v>
      </c>
      <c r="B17" s="23">
        <f>_xlfn.DAYS('My trades'!G38,'My trades'!D38)</f>
        <v>130</v>
      </c>
      <c r="C17" s="26">
        <f>('My trades'!H38-'My trades'!F38)*'My trades'!E38</f>
        <v>-0.41919267769104795</v>
      </c>
    </row>
    <row r="18" spans="1:3">
      <c r="A18" s="23" t="str">
        <f>'My trades'!A158</f>
        <v>uijhzhtp</v>
      </c>
      <c r="B18" s="23">
        <f>_xlfn.DAYS('My trades'!G158,'My trades'!D158)</f>
        <v>141</v>
      </c>
      <c r="C18" s="26">
        <f>('My trades'!H158-'My trades'!F158)*'My trades'!E158</f>
        <v>-0.33733947132457798</v>
      </c>
    </row>
    <row r="19" spans="1:3">
      <c r="A19" s="23" t="str">
        <f>'My trades'!A169</f>
        <v>waxzujox</v>
      </c>
      <c r="B19" s="23">
        <f>_xlfn.DAYS('My trades'!G169,'My trades'!D169)</f>
        <v>143</v>
      </c>
      <c r="C19" s="26">
        <f>('My trades'!H169-'My trades'!F169)*'My trades'!E169</f>
        <v>3.3174060387963E-2</v>
      </c>
    </row>
    <row r="20" spans="1:3">
      <c r="A20" s="23" t="str">
        <f>'My trades'!A170</f>
        <v>wfglkcmq</v>
      </c>
      <c r="B20" s="23">
        <f>_xlfn.DAYS('My trades'!G170,'My trades'!D170)</f>
        <v>143</v>
      </c>
      <c r="C20" s="26">
        <f>('My trades'!H170-'My trades'!F170)*'My trades'!E170</f>
        <v>0.44657128794339002</v>
      </c>
    </row>
    <row r="21" spans="1:3">
      <c r="A21" s="23" t="str">
        <f>'My trades'!A140</f>
        <v>seszlhqz</v>
      </c>
      <c r="B21" s="23">
        <f>_xlfn.DAYS('My trades'!G140,'My trades'!D140)</f>
        <v>146</v>
      </c>
      <c r="C21" s="26">
        <f>('My trades'!H140-'My trades'!F140)*'My trades'!E140</f>
        <v>0.82192099893295789</v>
      </c>
    </row>
    <row r="22" spans="1:3">
      <c r="A22" s="23" t="str">
        <f>'My trades'!A164</f>
        <v>vajwbmmv</v>
      </c>
      <c r="B22" s="23">
        <f>_xlfn.DAYS('My trades'!G164,'My trades'!D164)</f>
        <v>148</v>
      </c>
      <c r="C22" s="26">
        <f>('My trades'!H164-'My trades'!F164)*'My trades'!E164</f>
        <v>-0.28002138939231014</v>
      </c>
    </row>
    <row r="23" spans="1:3">
      <c r="A23" s="23" t="str">
        <f>'My trades'!A127</f>
        <v>qexyofhb</v>
      </c>
      <c r="B23" s="23">
        <f>_xlfn.DAYS('My trades'!G127,'My trades'!D127)</f>
        <v>152</v>
      </c>
      <c r="C23" s="26">
        <f>('My trades'!H127-'My trades'!F127)*'My trades'!E127</f>
        <v>-0.54187348945221592</v>
      </c>
    </row>
    <row r="24" spans="1:3">
      <c r="A24" s="23" t="str">
        <f>'My trades'!A199</f>
        <v>zsbkamjf</v>
      </c>
      <c r="B24" s="23">
        <f>_xlfn.DAYS('My trades'!G199,'My trades'!D199)</f>
        <v>159</v>
      </c>
      <c r="C24" s="26">
        <f>('My trades'!H199-'My trades'!F199)*'My trades'!E199</f>
        <v>1.4526226469951637</v>
      </c>
    </row>
    <row r="25" spans="1:3">
      <c r="A25" s="23" t="str">
        <f>'My trades'!A56</f>
        <v>hfwtmipz</v>
      </c>
      <c r="B25" s="23">
        <f>_xlfn.DAYS('My trades'!G56,'My trades'!D56)</f>
        <v>162</v>
      </c>
      <c r="C25" s="26">
        <f>('My trades'!H56-'My trades'!F56)*'My trades'!E56</f>
        <v>2.824521311271774</v>
      </c>
    </row>
    <row r="26" spans="1:3">
      <c r="A26" s="23" t="str">
        <f>'My trades'!A109</f>
        <v>nzyednpn</v>
      </c>
      <c r="B26" s="23">
        <f>_xlfn.DAYS('My trades'!G109,'My trades'!D109)</f>
        <v>163</v>
      </c>
      <c r="C26" s="26">
        <f>('My trades'!H109-'My trades'!F109)*'My trades'!E109</f>
        <v>4.3623326726628289</v>
      </c>
    </row>
    <row r="27" spans="1:3">
      <c r="A27" s="23" t="str">
        <f>'My trades'!A138</f>
        <v>seaeoiib</v>
      </c>
      <c r="B27" s="23">
        <f>_xlfn.DAYS('My trades'!G138,'My trades'!D138)</f>
        <v>169</v>
      </c>
      <c r="C27" s="26">
        <f>('My trades'!H138-'My trades'!F138)*'My trades'!E138</f>
        <v>-1.3524579839278259</v>
      </c>
    </row>
    <row r="28" spans="1:3">
      <c r="A28" s="23" t="str">
        <f>'My trades'!A177</f>
        <v>xgimgqvp</v>
      </c>
      <c r="B28" s="23">
        <f>_xlfn.DAYS('My trades'!G177,'My trades'!D177)</f>
        <v>172</v>
      </c>
      <c r="C28" s="26">
        <f>('My trades'!H177-'My trades'!F177)*'My trades'!E177</f>
        <v>-1.5256033160767555</v>
      </c>
    </row>
    <row r="29" spans="1:3">
      <c r="A29" s="23" t="str">
        <f>'My trades'!A125</f>
        <v>pywztrno</v>
      </c>
      <c r="B29" s="23">
        <f>_xlfn.DAYS('My trades'!G125,'My trades'!D125)</f>
        <v>175</v>
      </c>
      <c r="C29" s="26">
        <f>('My trades'!H125-'My trades'!F125)*'My trades'!E125</f>
        <v>-0.51703471594803296</v>
      </c>
    </row>
    <row r="30" spans="1:3">
      <c r="A30" s="23" t="str">
        <f>'My trades'!A63</f>
        <v>iagrfath</v>
      </c>
      <c r="B30" s="23">
        <f>_xlfn.DAYS('My trades'!G63,'My trades'!D63)</f>
        <v>181</v>
      </c>
      <c r="C30" s="26">
        <f>('My trades'!H63-'My trades'!F63)*'My trades'!E63</f>
        <v>0.4006979438649676</v>
      </c>
    </row>
    <row r="31" spans="1:3">
      <c r="A31" s="23" t="str">
        <f>'My trades'!A193</f>
        <v>ywfotaaf</v>
      </c>
      <c r="B31" s="23">
        <f>_xlfn.DAYS('My trades'!G193,'My trades'!D193)</f>
        <v>181</v>
      </c>
      <c r="C31" s="26">
        <f>('My trades'!H193-'My trades'!F193)*'My trades'!E193</f>
        <v>-0.66490583255463598</v>
      </c>
    </row>
    <row r="32" spans="1:3">
      <c r="A32" s="23" t="str">
        <f>'My trades'!A120</f>
        <v>pswtoazn</v>
      </c>
      <c r="B32" s="23">
        <f>_xlfn.DAYS('My trades'!G120,'My trades'!D120)</f>
        <v>184</v>
      </c>
      <c r="C32" s="26">
        <f>('My trades'!H120-'My trades'!F120)*'My trades'!E120</f>
        <v>-0.62322748967309327</v>
      </c>
    </row>
    <row r="33" spans="1:3">
      <c r="A33" s="23" t="str">
        <f>'My trades'!A80</f>
        <v>kmlcsefq</v>
      </c>
      <c r="B33" s="23">
        <f>_xlfn.DAYS('My trades'!G80,'My trades'!D80)</f>
        <v>199</v>
      </c>
      <c r="C33" s="26">
        <f>('My trades'!H80-'My trades'!F80)*'My trades'!E80</f>
        <v>-0.20085805852064986</v>
      </c>
    </row>
    <row r="34" spans="1:3">
      <c r="A34" s="23" t="str">
        <f>'My trades'!A69</f>
        <v>iztdnkqz</v>
      </c>
      <c r="B34" s="23">
        <f>_xlfn.DAYS('My trades'!G69,'My trades'!D69)</f>
        <v>204</v>
      </c>
      <c r="C34" s="26">
        <f>('My trades'!H69-'My trades'!F69)*'My trades'!E69</f>
        <v>-2.5716032628258279</v>
      </c>
    </row>
    <row r="35" spans="1:3">
      <c r="A35" s="23" t="str">
        <f>'My trades'!A27</f>
        <v>dspetbsq</v>
      </c>
      <c r="B35" s="23">
        <f>_xlfn.DAYS('My trades'!G27,'My trades'!D27)</f>
        <v>207</v>
      </c>
      <c r="C35" s="26">
        <f>('My trades'!H27-'My trades'!F27)*'My trades'!E27</f>
        <v>-5.4295326750647517</v>
      </c>
    </row>
    <row r="36" spans="1:3">
      <c r="A36" s="23" t="str">
        <f>'My trades'!A87</f>
        <v>kwbxqlin</v>
      </c>
      <c r="B36" s="23">
        <f>_xlfn.DAYS('My trades'!G87,'My trades'!D87)</f>
        <v>207</v>
      </c>
      <c r="C36" s="26">
        <f>('My trades'!H87-'My trades'!F87)*'My trades'!E87</f>
        <v>5.5166451515307351</v>
      </c>
    </row>
    <row r="37" spans="1:3">
      <c r="A37" s="23" t="str">
        <f>'My trades'!A85</f>
        <v>kqbdcljv</v>
      </c>
      <c r="B37" s="23">
        <f>_xlfn.DAYS('My trades'!G85,'My trades'!D85)</f>
        <v>212</v>
      </c>
      <c r="C37" s="26">
        <f>('My trades'!H85-'My trades'!F85)*'My trades'!E85</f>
        <v>1.3297794837764578</v>
      </c>
    </row>
    <row r="38" spans="1:3">
      <c r="A38" s="23" t="str">
        <f>'My trades'!A167</f>
        <v>vnkvbrpg</v>
      </c>
      <c r="B38" s="23">
        <f>_xlfn.DAYS('My trades'!G167,'My trades'!D167)</f>
        <v>213</v>
      </c>
      <c r="C38" s="26">
        <f>('My trades'!H167-'My trades'!F167)*'My trades'!E167</f>
        <v>3.034347410187225</v>
      </c>
    </row>
    <row r="39" spans="1:3">
      <c r="A39" s="23" t="str">
        <f>'My trades'!A72</f>
        <v>jhrvrggo</v>
      </c>
      <c r="B39" s="23">
        <f>_xlfn.DAYS('My trades'!G72,'My trades'!D72)</f>
        <v>222</v>
      </c>
      <c r="C39" s="26">
        <f>('My trades'!H72-'My trades'!F72)*'My trades'!E72</f>
        <v>7.8785100953612991E-2</v>
      </c>
    </row>
    <row r="40" spans="1:3">
      <c r="A40" s="23" t="str">
        <f>'My trades'!A45</f>
        <v>giuqiukz</v>
      </c>
      <c r="B40" s="23">
        <f>_xlfn.DAYS('My trades'!G45,'My trades'!D45)</f>
        <v>227</v>
      </c>
      <c r="C40" s="26">
        <f>('My trades'!H45-'My trades'!F45)*'My trades'!E45</f>
        <v>-0.55470984456488792</v>
      </c>
    </row>
    <row r="41" spans="1:3">
      <c r="A41" s="23" t="str">
        <f>'My trades'!A77</f>
        <v>kcqqvvon</v>
      </c>
      <c r="B41" s="23">
        <f>_xlfn.DAYS('My trades'!G77,'My trades'!D77)</f>
        <v>229</v>
      </c>
      <c r="C41" s="26">
        <f>('My trades'!H77-'My trades'!F77)*'My trades'!E77</f>
        <v>-2.1369087276919081</v>
      </c>
    </row>
    <row r="42" spans="1:3">
      <c r="A42" s="23" t="str">
        <f>'My trades'!A174</f>
        <v>wmesgogf</v>
      </c>
      <c r="B42" s="23">
        <f>_xlfn.DAYS('My trades'!G174,'My trades'!D174)</f>
        <v>229</v>
      </c>
      <c r="C42" s="26">
        <f>('My trades'!H174-'My trades'!F174)*'My trades'!E174</f>
        <v>-1.0710616568015761</v>
      </c>
    </row>
    <row r="43" spans="1:3">
      <c r="A43" s="23" t="str">
        <f>'My trades'!A183</f>
        <v>xslzwome</v>
      </c>
      <c r="B43" s="23">
        <f>_xlfn.DAYS('My trades'!G183,'My trades'!D183)</f>
        <v>231</v>
      </c>
      <c r="C43" s="26">
        <f>('My trades'!H183-'My trades'!F183)*'My trades'!E183</f>
        <v>-2.634202273976245</v>
      </c>
    </row>
    <row r="44" spans="1:3">
      <c r="A44" s="23" t="str">
        <f>'My trades'!A163</f>
        <v>uvenvheh</v>
      </c>
      <c r="B44" s="23">
        <f>_xlfn.DAYS('My trades'!G163,'My trades'!D163)</f>
        <v>235</v>
      </c>
      <c r="C44" s="26">
        <f>('My trades'!H163-'My trades'!F163)*'My trades'!E163</f>
        <v>-0.92995958029629511</v>
      </c>
    </row>
    <row r="45" spans="1:3">
      <c r="A45" s="23" t="str">
        <f>'My trades'!A25</f>
        <v>dlgsjszn</v>
      </c>
      <c r="B45" s="23">
        <f>_xlfn.DAYS('My trades'!G25,'My trades'!D25)</f>
        <v>237</v>
      </c>
      <c r="C45" s="26">
        <f>('My trades'!H25-'My trades'!F25)*'My trades'!E25</f>
        <v>0.44720070488754604</v>
      </c>
    </row>
    <row r="46" spans="1:3">
      <c r="A46" s="23" t="str">
        <f>'My trades'!A97</f>
        <v>mghfyjbr</v>
      </c>
      <c r="B46" s="23">
        <f>_xlfn.DAYS('My trades'!G97,'My trades'!D97)</f>
        <v>241</v>
      </c>
      <c r="C46" s="26">
        <f>('My trades'!H97-'My trades'!F97)*'My trades'!E97</f>
        <v>-1.5146400479562974</v>
      </c>
    </row>
    <row r="47" spans="1:3">
      <c r="A47" s="23" t="str">
        <f>'My trades'!A110</f>
        <v>ogszgnpm</v>
      </c>
      <c r="B47" s="23">
        <f>_xlfn.DAYS('My trades'!G110,'My trades'!D110)</f>
        <v>242</v>
      </c>
      <c r="C47" s="26">
        <f>('My trades'!H110-'My trades'!F110)*'My trades'!E110</f>
        <v>0.18643050150905299</v>
      </c>
    </row>
    <row r="48" spans="1:3">
      <c r="A48" s="23" t="str">
        <f>'My trades'!A73</f>
        <v>jszxcuxx</v>
      </c>
      <c r="B48" s="23">
        <f>_xlfn.DAYS('My trades'!G73,'My trades'!D73)</f>
        <v>244</v>
      </c>
      <c r="C48" s="26">
        <f>('My trades'!H73-'My trades'!F73)*'My trades'!E73</f>
        <v>6.7107767243110796</v>
      </c>
    </row>
    <row r="49" spans="1:3">
      <c r="A49" s="23" t="str">
        <f>'My trades'!A143</f>
        <v>stsjuvrd</v>
      </c>
      <c r="B49" s="23">
        <f>_xlfn.DAYS('My trades'!G143,'My trades'!D143)</f>
        <v>244</v>
      </c>
      <c r="C49" s="26">
        <f>('My trades'!H143-'My trades'!F143)*'My trades'!E143</f>
        <v>-2.0739923578695802</v>
      </c>
    </row>
    <row r="50" spans="1:3">
      <c r="A50" s="23" t="str">
        <f>'My trades'!A122</f>
        <v>pxzcvvvv</v>
      </c>
      <c r="B50" s="23">
        <f>_xlfn.DAYS('My trades'!G122,'My trades'!D122)</f>
        <v>248</v>
      </c>
      <c r="C50" s="26">
        <f>('My trades'!H122-'My trades'!F122)*'My trades'!E122</f>
        <v>1.3697860970959921</v>
      </c>
    </row>
    <row r="51" spans="1:3">
      <c r="A51" s="23" t="str">
        <f>'My trades'!A2</f>
        <v>agfgcfxt</v>
      </c>
      <c r="B51" s="23">
        <f>_xlfn.DAYS('My trades'!G2,'My trades'!D2)</f>
        <v>251</v>
      </c>
      <c r="C51" s="26">
        <f>('My trades'!H2-'My trades'!F2)*'My trades'!E2</f>
        <v>1.917610405077395</v>
      </c>
    </row>
    <row r="52" spans="1:3">
      <c r="A52" s="23" t="str">
        <f>'My trades'!A68</f>
        <v>ivnpgban</v>
      </c>
      <c r="B52" s="23">
        <f>_xlfn.DAYS('My trades'!G68,'My trades'!D68)</f>
        <v>257</v>
      </c>
      <c r="C52" s="26">
        <f>('My trades'!H68-'My trades'!F68)*'My trades'!E68</f>
        <v>-0.42779265355129403</v>
      </c>
    </row>
    <row r="53" spans="1:3">
      <c r="A53" s="23" t="str">
        <f>'My trades'!A151</f>
        <v>tuneagik</v>
      </c>
      <c r="B53" s="23">
        <f>_xlfn.DAYS('My trades'!G151,'My trades'!D151)</f>
        <v>260</v>
      </c>
      <c r="C53" s="26">
        <f>('My trades'!H151-'My trades'!F151)*'My trades'!E151</f>
        <v>1.9280117647976935E-2</v>
      </c>
    </row>
    <row r="54" spans="1:3">
      <c r="A54" s="23" t="str">
        <f>'My trades'!A16</f>
        <v>chhqshvn</v>
      </c>
      <c r="B54" s="23">
        <f>_xlfn.DAYS('My trades'!G16,'My trades'!D16)</f>
        <v>267</v>
      </c>
      <c r="C54" s="26">
        <f>('My trades'!H16-'My trades'!F16)*'My trades'!E16</f>
        <v>-0.37738991121094789</v>
      </c>
    </row>
    <row r="55" spans="1:3">
      <c r="A55" s="23" t="str">
        <f>'My trades'!A112</f>
        <v>olnjegug</v>
      </c>
      <c r="B55" s="23">
        <f>_xlfn.DAYS('My trades'!G112,'My trades'!D112)</f>
        <v>271</v>
      </c>
      <c r="C55" s="26">
        <f>('My trades'!H112-'My trades'!F112)*'My trades'!E112</f>
        <v>-2.2984402212260577</v>
      </c>
    </row>
    <row r="56" spans="1:3">
      <c r="A56" s="23" t="str">
        <f>'My trades'!A44</f>
        <v>gfiuzniq</v>
      </c>
      <c r="B56" s="23">
        <f>_xlfn.DAYS('My trades'!G44,'My trades'!D44)</f>
        <v>277</v>
      </c>
      <c r="C56" s="26">
        <f>('My trades'!H44-'My trades'!F44)*'My trades'!E44</f>
        <v>5.6557296266118122</v>
      </c>
    </row>
    <row r="57" spans="1:3">
      <c r="A57" s="23" t="str">
        <f>'My trades'!A65</f>
        <v>icgddrqk</v>
      </c>
      <c r="B57" s="23">
        <f>_xlfn.DAYS('My trades'!G65,'My trades'!D65)</f>
        <v>281</v>
      </c>
      <c r="C57" s="26">
        <f>('My trades'!H65-'My trades'!F65)*'My trades'!E65</f>
        <v>0.56354077591473983</v>
      </c>
    </row>
    <row r="58" spans="1:3">
      <c r="A58" s="23" t="str">
        <f>'My trades'!A184</f>
        <v>xydeqivj</v>
      </c>
      <c r="B58" s="23">
        <f>_xlfn.DAYS('My trades'!G184,'My trades'!D184)</f>
        <v>285</v>
      </c>
      <c r="C58" s="26">
        <f>('My trades'!H184-'My trades'!F184)*'My trades'!E184</f>
        <v>0.32849767871635599</v>
      </c>
    </row>
    <row r="59" spans="1:3">
      <c r="A59" s="23" t="str">
        <f>'My trades'!A141</f>
        <v>sgdkuekd</v>
      </c>
      <c r="B59" s="23">
        <f>_xlfn.DAYS('My trades'!G141,'My trades'!D141)</f>
        <v>292</v>
      </c>
      <c r="C59" s="26">
        <f>('My trades'!H141-'My trades'!F141)*'My trades'!E141</f>
        <v>-2.7793845987997785</v>
      </c>
    </row>
    <row r="60" spans="1:3">
      <c r="A60" s="23" t="str">
        <f>'My trades'!A76</f>
        <v>jyrrbwon</v>
      </c>
      <c r="B60" s="23">
        <f>_xlfn.DAYS('My trades'!G76,'My trades'!D76)</f>
        <v>294</v>
      </c>
      <c r="C60" s="26">
        <f>('My trades'!H76-'My trades'!F76)*'My trades'!E76</f>
        <v>-0.147372694291836</v>
      </c>
    </row>
    <row r="61" spans="1:3">
      <c r="A61" s="23" t="str">
        <f>'My trades'!A200</f>
        <v>zsylhezi</v>
      </c>
      <c r="B61" s="23">
        <f>_xlfn.DAYS('My trades'!G200,'My trades'!D200)</f>
        <v>295</v>
      </c>
      <c r="C61" s="26">
        <f>('My trades'!H200-'My trades'!F200)*'My trades'!E200</f>
        <v>2.3299770433649041</v>
      </c>
    </row>
    <row r="62" spans="1:3">
      <c r="A62" s="23" t="str">
        <f>'My trades'!A135</f>
        <v>rxbzlipl</v>
      </c>
      <c r="B62" s="23">
        <f>_xlfn.DAYS('My trades'!G135,'My trades'!D135)</f>
        <v>301</v>
      </c>
      <c r="C62" s="26">
        <f>('My trades'!H135-'My trades'!F135)*'My trades'!E135</f>
        <v>-0.57815918275795197</v>
      </c>
    </row>
    <row r="63" spans="1:3">
      <c r="A63" s="23" t="str">
        <f>'My trades'!A5</f>
        <v>apxkynfx</v>
      </c>
      <c r="B63" s="23">
        <f>_xlfn.DAYS('My trades'!G5,'My trades'!D5)</f>
        <v>307</v>
      </c>
      <c r="C63" s="26">
        <f>('My trades'!H5-'My trades'!F5)*'My trades'!E5</f>
        <v>0.36765639973741299</v>
      </c>
    </row>
    <row r="64" spans="1:3">
      <c r="A64" s="23" t="str">
        <f>'My trades'!A147</f>
        <v>tjtyuhoi</v>
      </c>
      <c r="B64" s="23">
        <f>_xlfn.DAYS('My trades'!G147,'My trades'!D147)</f>
        <v>307</v>
      </c>
      <c r="C64" s="26">
        <f>('My trades'!H147-'My trades'!F147)*'My trades'!E147</f>
        <v>4.4587290504929902</v>
      </c>
    </row>
    <row r="65" spans="1:3">
      <c r="A65" s="23" t="str">
        <f>'My trades'!A119</f>
        <v>poohpdwc</v>
      </c>
      <c r="B65" s="23">
        <f>_xlfn.DAYS('My trades'!G119,'My trades'!D119)</f>
        <v>308</v>
      </c>
      <c r="C65" s="26">
        <f>('My trades'!H119-'My trades'!F119)*'My trades'!E119</f>
        <v>-3.6237978366431691</v>
      </c>
    </row>
    <row r="66" spans="1:3">
      <c r="A66" s="23" t="str">
        <f>'My trades'!A74</f>
        <v>jvcllvko</v>
      </c>
      <c r="B66" s="23">
        <f>_xlfn.DAYS('My trades'!G74,'My trades'!D74)</f>
        <v>310</v>
      </c>
      <c r="C66" s="26">
        <f>('My trades'!H74-'My trades'!F74)*'My trades'!E74</f>
        <v>-1.3307948236361038</v>
      </c>
    </row>
    <row r="67" spans="1:3">
      <c r="A67" s="23" t="str">
        <f>'My trades'!A155</f>
        <v>ucjtvrzo</v>
      </c>
      <c r="B67" s="23">
        <f>_xlfn.DAYS('My trades'!G155,'My trades'!D155)</f>
        <v>319</v>
      </c>
      <c r="C67" s="26">
        <f>('My trades'!H155-'My trades'!F155)*'My trades'!E155</f>
        <v>3.0900493820769115</v>
      </c>
    </row>
    <row r="68" spans="1:3">
      <c r="A68" s="23" t="str">
        <f>'My trades'!A55</f>
        <v>hflsqchs</v>
      </c>
      <c r="B68" s="23">
        <f>_xlfn.DAYS('My trades'!G55,'My trades'!D55)</f>
        <v>324</v>
      </c>
      <c r="C68" s="26">
        <f>('My trades'!H55-'My trades'!F55)*'My trades'!E55</f>
        <v>1.111511838610578</v>
      </c>
    </row>
    <row r="69" spans="1:3">
      <c r="A69" s="23" t="str">
        <f>'My trades'!A48</f>
        <v>gsarsxnf</v>
      </c>
      <c r="B69" s="23">
        <f>_xlfn.DAYS('My trades'!G48,'My trades'!D48)</f>
        <v>326</v>
      </c>
      <c r="C69" s="26">
        <f>('My trades'!H48-'My trades'!F48)*'My trades'!E48</f>
        <v>-6.5528850516359043</v>
      </c>
    </row>
    <row r="70" spans="1:3">
      <c r="A70" s="23" t="str">
        <f>'My trades'!A132</f>
        <v>rfngluke</v>
      </c>
      <c r="B70" s="23">
        <f>_xlfn.DAYS('My trades'!G132,'My trades'!D132)</f>
        <v>329</v>
      </c>
      <c r="C70" s="26">
        <f>('My trades'!H132-'My trades'!F132)*'My trades'!E132</f>
        <v>0.40669450199158963</v>
      </c>
    </row>
    <row r="71" spans="1:3">
      <c r="A71" s="23" t="str">
        <f>'My trades'!A190</f>
        <v>ypdwpcvo</v>
      </c>
      <c r="B71" s="23">
        <f>_xlfn.DAYS('My trades'!G190,'My trades'!D190)</f>
        <v>342</v>
      </c>
      <c r="C71" s="26">
        <f>('My trades'!H190-'My trades'!F190)*'My trades'!E190</f>
        <v>0.19416143448368101</v>
      </c>
    </row>
    <row r="72" spans="1:3">
      <c r="A72" s="23" t="str">
        <f>'My trades'!A58</f>
        <v>hmtiybmi</v>
      </c>
      <c r="B72" s="23">
        <f>_xlfn.DAYS('My trades'!G58,'My trades'!D58)</f>
        <v>344</v>
      </c>
      <c r="C72" s="26">
        <f>('My trades'!H58-'My trades'!F58)*'My trades'!E58</f>
        <v>1.2820395994142724</v>
      </c>
    </row>
    <row r="73" spans="1:3">
      <c r="A73" s="23" t="str">
        <f>'My trades'!A161</f>
        <v>unxxstxp</v>
      </c>
      <c r="B73" s="23">
        <f>_xlfn.DAYS('My trades'!G161,'My trades'!D161)</f>
        <v>345</v>
      </c>
      <c r="C73" s="26">
        <f>('My trades'!H161-'My trades'!F161)*'My trades'!E161</f>
        <v>-6.2183137819950052E-2</v>
      </c>
    </row>
    <row r="74" spans="1:3">
      <c r="A74" s="23" t="str">
        <f>'My trades'!A84</f>
        <v>kpoujdyl</v>
      </c>
      <c r="B74" s="23">
        <f>_xlfn.DAYS('My trades'!G84,'My trades'!D84)</f>
        <v>351</v>
      </c>
      <c r="C74" s="26">
        <f>('My trades'!H84-'My trades'!F84)*'My trades'!E84</f>
        <v>0.12174590279516</v>
      </c>
    </row>
    <row r="75" spans="1:3">
      <c r="A75" s="23" t="str">
        <f>'My trades'!A67</f>
        <v>ifskxsgr</v>
      </c>
      <c r="B75" s="23">
        <f>_xlfn.DAYS('My trades'!G67,'My trades'!D67)</f>
        <v>355</v>
      </c>
      <c r="C75" s="26">
        <f>('My trades'!H67-'My trades'!F67)*'My trades'!E67</f>
        <v>-0.57038561737306004</v>
      </c>
    </row>
    <row r="76" spans="1:3">
      <c r="A76" s="23" t="str">
        <f>'My trades'!A166</f>
        <v>vjtxbscg</v>
      </c>
      <c r="B76" s="23">
        <f>_xlfn.DAYS('My trades'!G166,'My trades'!D166)</f>
        <v>358</v>
      </c>
      <c r="C76" s="26">
        <f>('My trades'!H166-'My trades'!F166)*'My trades'!E166</f>
        <v>1.7732877280659309E-2</v>
      </c>
    </row>
    <row r="77" spans="1:3">
      <c r="A77" s="23" t="str">
        <f>'My trades'!A118</f>
        <v>pnsxdhqo</v>
      </c>
      <c r="B77" s="23">
        <f>_xlfn.DAYS('My trades'!G118,'My trades'!D118)</f>
        <v>361</v>
      </c>
      <c r="C77" s="26">
        <f>('My trades'!H118-'My trades'!F118)*'My trades'!E118</f>
        <v>-0.14332616076687998</v>
      </c>
    </row>
    <row r="78" spans="1:3">
      <c r="A78" s="23" t="str">
        <f>'My trades'!A192</f>
        <v>ysndnwiy</v>
      </c>
      <c r="B78" s="23">
        <f>_xlfn.DAYS('My trades'!G192,'My trades'!D192)</f>
        <v>369</v>
      </c>
      <c r="C78" s="26">
        <f>('My trades'!H192-'My trades'!F192)*'My trades'!E192</f>
        <v>1.9271956549415645</v>
      </c>
    </row>
    <row r="79" spans="1:3">
      <c r="A79" s="23" t="str">
        <f>'My trades'!A114</f>
        <v>orgnwenh</v>
      </c>
      <c r="B79" s="23">
        <f>_xlfn.DAYS('My trades'!G114,'My trades'!D114)</f>
        <v>375</v>
      </c>
      <c r="C79" s="26">
        <f>('My trades'!H114-'My trades'!F114)*'My trades'!E114</f>
        <v>0.51729142881164603</v>
      </c>
    </row>
    <row r="80" spans="1:3">
      <c r="A80" s="23" t="str">
        <f>'My trades'!A150</f>
        <v>ttxgpfqy</v>
      </c>
      <c r="B80" s="23">
        <f>_xlfn.DAYS('My trades'!G150,'My trades'!D150)</f>
        <v>376</v>
      </c>
      <c r="C80" s="26">
        <f>('My trades'!H150-'My trades'!F150)*'My trades'!E150</f>
        <v>-1.2073753528529019E-2</v>
      </c>
    </row>
    <row r="81" spans="1:3">
      <c r="A81" s="23" t="str">
        <f>'My trades'!A153</f>
        <v>txuwmhfn</v>
      </c>
      <c r="B81" s="23">
        <f>_xlfn.DAYS('My trades'!G153,'My trades'!D153)</f>
        <v>379</v>
      </c>
      <c r="C81" s="26">
        <f>('My trades'!H153-'My trades'!F153)*'My trades'!E153</f>
        <v>-0.45102302077523904</v>
      </c>
    </row>
    <row r="82" spans="1:3">
      <c r="A82" s="23" t="str">
        <f>'My trades'!A32</f>
        <v>emjmheht</v>
      </c>
      <c r="B82" s="23">
        <f>_xlfn.DAYS('My trades'!G32,'My trades'!D32)</f>
        <v>387</v>
      </c>
      <c r="C82" s="26">
        <f>('My trades'!H32-'My trades'!F32)*'My trades'!E32</f>
        <v>5.7730508510901872</v>
      </c>
    </row>
    <row r="83" spans="1:3">
      <c r="A83" s="23" t="str">
        <f>'My trades'!A105</f>
        <v>nklszbdc</v>
      </c>
      <c r="B83" s="23">
        <f>_xlfn.DAYS('My trades'!G105,'My trades'!D105)</f>
        <v>392</v>
      </c>
      <c r="C83" s="26">
        <f>('My trades'!H105-'My trades'!F105)*'My trades'!E105</f>
        <v>-5.0818807518380593</v>
      </c>
    </row>
    <row r="84" spans="1:3">
      <c r="A84" s="23" t="str">
        <f>'My trades'!A104</f>
        <v>njxhycea</v>
      </c>
      <c r="B84" s="23">
        <f>_xlfn.DAYS('My trades'!G104,'My trades'!D104)</f>
        <v>396</v>
      </c>
      <c r="C84" s="26">
        <f>('My trades'!H104-'My trades'!F104)*'My trades'!E104</f>
        <v>3.3086654370845152</v>
      </c>
    </row>
    <row r="85" spans="1:3">
      <c r="A85" s="23" t="str">
        <f>'My trades'!A86</f>
        <v>krqkwnaw</v>
      </c>
      <c r="B85" s="23">
        <f>_xlfn.DAYS('My trades'!G86,'My trades'!D86)</f>
        <v>397</v>
      </c>
      <c r="C85" s="26">
        <f>('My trades'!H86-'My trades'!F86)*'My trades'!E86</f>
        <v>-0.20186197918953602</v>
      </c>
    </row>
    <row r="86" spans="1:3">
      <c r="A86" s="23" t="str">
        <f>'My trades'!A11</f>
        <v>bpjmrhjo</v>
      </c>
      <c r="B86" s="23">
        <f>_xlfn.DAYS('My trades'!G11,'My trades'!D11)</f>
        <v>400</v>
      </c>
      <c r="C86" s="26">
        <f>('My trades'!H11-'My trades'!F11)*'My trades'!E11</f>
        <v>1.0623777349169758</v>
      </c>
    </row>
    <row r="87" spans="1:3">
      <c r="A87" s="23" t="str">
        <f>'My trades'!A160</f>
        <v>umdvcmek</v>
      </c>
      <c r="B87" s="23">
        <f>_xlfn.DAYS('My trades'!G160,'My trades'!D160)</f>
        <v>404</v>
      </c>
      <c r="C87" s="26">
        <f>('My trades'!H160-'My trades'!F160)*'My trades'!E160</f>
        <v>-0.12334829544298809</v>
      </c>
    </row>
    <row r="88" spans="1:3">
      <c r="A88" s="23" t="str">
        <f>'My trades'!A129</f>
        <v>qklyndfp</v>
      </c>
      <c r="B88" s="23">
        <f>_xlfn.DAYS('My trades'!G129,'My trades'!D129)</f>
        <v>406</v>
      </c>
      <c r="C88" s="26">
        <f>('My trades'!H129-'My trades'!F129)*'My trades'!E129</f>
        <v>-0.99109056785185001</v>
      </c>
    </row>
    <row r="89" spans="1:3">
      <c r="A89" s="23" t="str">
        <f>'My trades'!A9</f>
        <v>beszhcyh</v>
      </c>
      <c r="B89" s="23">
        <f>_xlfn.DAYS('My trades'!G9,'My trades'!D9)</f>
        <v>407</v>
      </c>
      <c r="C89" s="26">
        <f>('My trades'!H9-'My trades'!F9)*'My trades'!E9</f>
        <v>1.0126794928685681</v>
      </c>
    </row>
    <row r="90" spans="1:3">
      <c r="A90" s="23" t="str">
        <f>'My trades'!A82</f>
        <v>knrhgdai</v>
      </c>
      <c r="B90" s="23">
        <f>_xlfn.DAYS('My trades'!G82,'My trades'!D82)</f>
        <v>407</v>
      </c>
      <c r="C90" s="26">
        <f>('My trades'!H82-'My trades'!F82)*'My trades'!E82</f>
        <v>-0.37735846191132916</v>
      </c>
    </row>
    <row r="91" spans="1:3">
      <c r="A91" s="23" t="str">
        <f>'My trades'!A149</f>
        <v>tsrjnkjg</v>
      </c>
      <c r="B91" s="23">
        <f>_xlfn.DAYS('My trades'!G149,'My trades'!D149)</f>
        <v>410</v>
      </c>
      <c r="C91" s="26">
        <f>('My trades'!H149-'My trades'!F149)*'My trades'!E149</f>
        <v>0.30343950901873695</v>
      </c>
    </row>
    <row r="92" spans="1:3">
      <c r="A92" s="23" t="str">
        <f>'My trades'!A117</f>
        <v>pcifviip</v>
      </c>
      <c r="B92" s="23">
        <f>_xlfn.DAYS('My trades'!G117,'My trades'!D117)</f>
        <v>417</v>
      </c>
      <c r="C92" s="26">
        <f>('My trades'!H117-'My trades'!F117)*'My trades'!E117</f>
        <v>-3.0400181772773198</v>
      </c>
    </row>
    <row r="93" spans="1:3">
      <c r="A93" s="23" t="str">
        <f>'My trades'!A100</f>
        <v>mkxkerbr</v>
      </c>
      <c r="B93" s="23">
        <f>_xlfn.DAYS('My trades'!G100,'My trades'!D100)</f>
        <v>418</v>
      </c>
      <c r="C93" s="26">
        <f>('My trades'!H100-'My trades'!F100)*'My trades'!E100</f>
        <v>-4.8620707049910061E-2</v>
      </c>
    </row>
    <row r="94" spans="1:3">
      <c r="A94" s="23" t="str">
        <f>'My trades'!A157</f>
        <v>ugegxjpi</v>
      </c>
      <c r="B94" s="23">
        <f>_xlfn.DAYS('My trades'!G157,'My trades'!D157)</f>
        <v>420</v>
      </c>
      <c r="C94" s="26">
        <f>('My trades'!H157-'My trades'!F157)*'My trades'!E157</f>
        <v>0.44627863636776588</v>
      </c>
    </row>
    <row r="95" spans="1:3">
      <c r="A95" s="23" t="str">
        <f>'My trades'!A51</f>
        <v>hdslpwul</v>
      </c>
      <c r="B95" s="23">
        <f>_xlfn.DAYS('My trades'!G51,'My trades'!D51)</f>
        <v>428</v>
      </c>
      <c r="C95" s="26">
        <f>('My trades'!H51-'My trades'!F51)*'My trades'!E51</f>
        <v>2.075152539482163</v>
      </c>
    </row>
    <row r="96" spans="1:3">
      <c r="A96" s="23" t="str">
        <f>'My trades'!A8</f>
        <v>bdkloegq</v>
      </c>
      <c r="B96" s="23">
        <f>_xlfn.DAYS('My trades'!G8,'My trades'!D8)</f>
        <v>430</v>
      </c>
      <c r="C96" s="26">
        <f>('My trades'!H8-'My trades'!F8)*'My trades'!E8</f>
        <v>0.91937945611308602</v>
      </c>
    </row>
    <row r="97" spans="1:3">
      <c r="A97" s="23" t="str">
        <f>'My trades'!A88</f>
        <v>kweyaukr</v>
      </c>
      <c r="B97" s="23">
        <f>_xlfn.DAYS('My trades'!G88,'My trades'!D88)</f>
        <v>433</v>
      </c>
      <c r="C97" s="26">
        <f>('My trades'!H88-'My trades'!F88)*'My trades'!E88</f>
        <v>0.4542755046532776</v>
      </c>
    </row>
    <row r="98" spans="1:3">
      <c r="A98" s="23" t="str">
        <f>'My trades'!A36</f>
        <v>fipcayvv</v>
      </c>
      <c r="B98" s="23">
        <f>_xlfn.DAYS('My trades'!G36,'My trades'!D36)</f>
        <v>434</v>
      </c>
      <c r="C98" s="26">
        <f>('My trades'!H36-'My trades'!F36)*'My trades'!E36</f>
        <v>-0.62411902987622447</v>
      </c>
    </row>
    <row r="99" spans="1:3">
      <c r="A99" s="23" t="str">
        <f>'My trades'!A93</f>
        <v>lpzjhtkm</v>
      </c>
      <c r="B99" s="23">
        <f>_xlfn.DAYS('My trades'!G93,'My trades'!D93)</f>
        <v>436</v>
      </c>
      <c r="C99" s="26">
        <f>('My trades'!H93-'My trades'!F93)*'My trades'!E93</f>
        <v>1.7071996658142359</v>
      </c>
    </row>
    <row r="100" spans="1:3">
      <c r="A100" s="23" t="str">
        <f>'My trades'!A7</f>
        <v>bcizkhng</v>
      </c>
      <c r="B100" s="23">
        <f>_xlfn.DAYS('My trades'!G7,'My trades'!D7)</f>
        <v>440</v>
      </c>
      <c r="C100" s="26">
        <f>('My trades'!H7-'My trades'!F7)*'My trades'!E7</f>
        <v>0.67427563789571499</v>
      </c>
    </row>
    <row r="101" spans="1:3">
      <c r="A101" s="23" t="str">
        <f>'My trades'!A159</f>
        <v>uiytklhp</v>
      </c>
      <c r="B101" s="23">
        <f>_xlfn.DAYS('My trades'!G159,'My trades'!D159)</f>
        <v>443</v>
      </c>
      <c r="C101" s="26">
        <f>('My trades'!H159-'My trades'!F159)*'My trades'!E159</f>
        <v>0.63835945992036414</v>
      </c>
    </row>
    <row r="102" spans="1:3">
      <c r="A102" s="23" t="str">
        <f>'My trades'!A121</f>
        <v>pxkjcmpp</v>
      </c>
      <c r="B102" s="23">
        <f>_xlfn.DAYS('My trades'!G121,'My trades'!D121)</f>
        <v>445</v>
      </c>
      <c r="C102" s="26">
        <f>('My trades'!H121-'My trades'!F121)*'My trades'!E121</f>
        <v>1.046745383891124</v>
      </c>
    </row>
    <row r="103" spans="1:3">
      <c r="A103" s="23" t="str">
        <f>'My trades'!A39</f>
        <v>fkgjitio</v>
      </c>
      <c r="B103" s="23">
        <f>_xlfn.DAYS('My trades'!G39,'My trades'!D39)</f>
        <v>448</v>
      </c>
      <c r="C103" s="26">
        <f>('My trades'!H39-'My trades'!F39)*'My trades'!E39</f>
        <v>-2.2252395811399799</v>
      </c>
    </row>
    <row r="104" spans="1:3">
      <c r="A104" s="23" t="str">
        <f>'My trades'!A4</f>
        <v>almuieaq</v>
      </c>
      <c r="B104" s="23">
        <f>_xlfn.DAYS('My trades'!G4,'My trades'!D4)</f>
        <v>449</v>
      </c>
      <c r="C104" s="26">
        <f>('My trades'!H4-'My trades'!F4)*'My trades'!E4</f>
        <v>-1.5501903178054743</v>
      </c>
    </row>
    <row r="105" spans="1:3">
      <c r="A105" s="23" t="str">
        <f>'My trades'!A148</f>
        <v>tsmbtvip</v>
      </c>
      <c r="B105" s="23">
        <f>_xlfn.DAYS('My trades'!G148,'My trades'!D148)</f>
        <v>456</v>
      </c>
      <c r="C105" s="26">
        <f>('My trades'!H148-'My trades'!F148)*'My trades'!E148</f>
        <v>-4.196142457933874</v>
      </c>
    </row>
    <row r="106" spans="1:3">
      <c r="A106" s="23" t="str">
        <f>'My trades'!A168</f>
        <v>vqkagvwm</v>
      </c>
      <c r="B106" s="23">
        <f>_xlfn.DAYS('My trades'!G168,'My trades'!D168)</f>
        <v>459</v>
      </c>
      <c r="C106" s="26">
        <f>('My trades'!H168-'My trades'!F168)*'My trades'!E168</f>
        <v>7.1354277806178631E-2</v>
      </c>
    </row>
    <row r="107" spans="1:3">
      <c r="A107" s="23" t="str">
        <f>'My trades'!A185</f>
        <v>ybasexlh</v>
      </c>
      <c r="B107" s="23">
        <f>_xlfn.DAYS('My trades'!G185,'My trades'!D185)</f>
        <v>460</v>
      </c>
      <c r="C107" s="26">
        <f>('My trades'!H185-'My trades'!F185)*'My trades'!E185</f>
        <v>2.8849163151886512</v>
      </c>
    </row>
    <row r="108" spans="1:3">
      <c r="A108" s="23" t="str">
        <f>'My trades'!A28</f>
        <v>ebkkmqbi</v>
      </c>
      <c r="B108" s="23">
        <f>_xlfn.DAYS('My trades'!G28,'My trades'!D28)</f>
        <v>465</v>
      </c>
      <c r="C108" s="26">
        <f>('My trades'!H28-'My trades'!F28)*'My trades'!E28</f>
        <v>-3.8535105118851813</v>
      </c>
    </row>
    <row r="109" spans="1:3">
      <c r="A109" s="23" t="str">
        <f>'My trades'!A71</f>
        <v>jgrpnvil</v>
      </c>
      <c r="B109" s="23">
        <f>_xlfn.DAYS('My trades'!G71,'My trades'!D71)</f>
        <v>467</v>
      </c>
      <c r="C109" s="26">
        <f>('My trades'!H71-'My trades'!F71)*'My trades'!E71</f>
        <v>0.470060188958903</v>
      </c>
    </row>
    <row r="110" spans="1:3">
      <c r="A110" s="23" t="str">
        <f>'My trades'!A139</f>
        <v>sejklwar</v>
      </c>
      <c r="B110" s="23">
        <f>_xlfn.DAYS('My trades'!G139,'My trades'!D139)</f>
        <v>469</v>
      </c>
      <c r="C110" s="26">
        <f>('My trades'!H139-'My trades'!F139)*'My trades'!E139</f>
        <v>2.6056907203952058</v>
      </c>
    </row>
    <row r="111" spans="1:3">
      <c r="A111" s="23" t="str">
        <f>'My trades'!A201</f>
        <v>zvxjotpr</v>
      </c>
      <c r="B111" s="23">
        <f>_xlfn.DAYS('My trades'!G201,'My trades'!D201)</f>
        <v>476</v>
      </c>
      <c r="C111" s="26">
        <f>('My trades'!H201-'My trades'!F201)*'My trades'!E201</f>
        <v>-6.204338418382064</v>
      </c>
    </row>
    <row r="112" spans="1:3">
      <c r="A112" s="23" t="str">
        <f>'My trades'!A40</f>
        <v>frlnnmpc</v>
      </c>
      <c r="B112" s="23">
        <f>_xlfn.DAYS('My trades'!G40,'My trades'!D40)</f>
        <v>482</v>
      </c>
      <c r="C112" s="26">
        <f>('My trades'!H40-'My trades'!F40)*'My trades'!E40</f>
        <v>-4.8240735386516205</v>
      </c>
    </row>
    <row r="113" spans="1:3">
      <c r="A113" s="23" t="str">
        <f>'My trades'!A13</f>
        <v>bumcnvke</v>
      </c>
      <c r="B113" s="23">
        <f>_xlfn.DAYS('My trades'!G13,'My trades'!D13)</f>
        <v>488</v>
      </c>
      <c r="C113" s="26">
        <f>('My trades'!H13-'My trades'!F13)*'My trades'!E13</f>
        <v>1.3598595032375105</v>
      </c>
    </row>
    <row r="114" spans="1:3">
      <c r="A114" s="23" t="str">
        <f>'My trades'!A179</f>
        <v>xgxazdwr</v>
      </c>
      <c r="B114" s="23">
        <f>_xlfn.DAYS('My trades'!G179,'My trades'!D179)</f>
        <v>490</v>
      </c>
      <c r="C114" s="26">
        <f>('My trades'!H179-'My trades'!F179)*'My trades'!E179</f>
        <v>0.86283924251520117</v>
      </c>
    </row>
    <row r="115" spans="1:3">
      <c r="A115" s="23" t="str">
        <f>'My trades'!A102</f>
        <v>mxpzparg</v>
      </c>
      <c r="B115" s="23">
        <f>_xlfn.DAYS('My trades'!G102,'My trades'!D102)</f>
        <v>494</v>
      </c>
      <c r="C115" s="26">
        <f>('My trades'!H102-'My trades'!F102)*'My trades'!E102</f>
        <v>-2.7225392516182776</v>
      </c>
    </row>
    <row r="116" spans="1:3">
      <c r="A116" s="23" t="str">
        <f>'My trades'!A34</f>
        <v>ewzlrcco</v>
      </c>
      <c r="B116" s="23">
        <f>_xlfn.DAYS('My trades'!G34,'My trades'!D34)</f>
        <v>499</v>
      </c>
      <c r="C116" s="26">
        <f>('My trades'!H34-'My trades'!F34)*'My trades'!E34</f>
        <v>2.9976291326534672</v>
      </c>
    </row>
    <row r="117" spans="1:3">
      <c r="A117" s="23" t="str">
        <f>'My trades'!A182</f>
        <v>xmzhzbvl</v>
      </c>
      <c r="B117" s="23">
        <f>_xlfn.DAYS('My trades'!G182,'My trades'!D182)</f>
        <v>501</v>
      </c>
      <c r="C117" s="26">
        <f>('My trades'!H182-'My trades'!F182)*'My trades'!E182</f>
        <v>1.6595270008323837</v>
      </c>
    </row>
    <row r="118" spans="1:3">
      <c r="A118" s="23" t="str">
        <f>'My trades'!A75</f>
        <v>jxgqnvpx</v>
      </c>
      <c r="B118" s="23">
        <f>_xlfn.DAYS('My trades'!G75,'My trades'!D75)</f>
        <v>510</v>
      </c>
      <c r="C118" s="26">
        <f>('My trades'!H75-'My trades'!F75)*'My trades'!E75</f>
        <v>3.6786823427516997</v>
      </c>
    </row>
    <row r="119" spans="1:3">
      <c r="A119" s="23" t="str">
        <f>'My trades'!A30</f>
        <v>eknpqcge</v>
      </c>
      <c r="B119" s="23">
        <f>_xlfn.DAYS('My trades'!G30,'My trades'!D30)</f>
        <v>513</v>
      </c>
      <c r="C119" s="26">
        <f>('My trades'!H30-'My trades'!F30)*'My trades'!E30</f>
        <v>2.432401333318098</v>
      </c>
    </row>
    <row r="120" spans="1:3">
      <c r="A120" s="23" t="str">
        <f>'My trades'!A50</f>
        <v>hdpggnqd</v>
      </c>
      <c r="B120" s="23">
        <f>_xlfn.DAYS('My trades'!G50,'My trades'!D50)</f>
        <v>524</v>
      </c>
      <c r="C120" s="26">
        <f>('My trades'!H50-'My trades'!F50)*'My trades'!E50</f>
        <v>1.8146635979030941</v>
      </c>
    </row>
    <row r="121" spans="1:3">
      <c r="A121" s="23" t="str">
        <f>'My trades'!A195</f>
        <v>zhhtkovi</v>
      </c>
      <c r="B121" s="23">
        <f>_xlfn.DAYS('My trades'!G195,'My trades'!D195)</f>
        <v>526</v>
      </c>
      <c r="C121" s="26">
        <f>('My trades'!H195-'My trades'!F195)*'My trades'!E195</f>
        <v>-0.58197825859747199</v>
      </c>
    </row>
    <row r="122" spans="1:3">
      <c r="A122" s="23" t="str">
        <f>'My trades'!A116</f>
        <v>pberstsl</v>
      </c>
      <c r="B122" s="23">
        <f>_xlfn.DAYS('My trades'!G116,'My trades'!D116)</f>
        <v>534</v>
      </c>
      <c r="C122" s="26">
        <f>('My trades'!H116-'My trades'!F116)*'My trades'!E116</f>
        <v>-0.24632205548731403</v>
      </c>
    </row>
    <row r="123" spans="1:3">
      <c r="A123" s="23" t="str">
        <f>'My trades'!A142</f>
        <v>slqawwyu</v>
      </c>
      <c r="B123" s="23">
        <f>_xlfn.DAYS('My trades'!G142,'My trades'!D142)</f>
        <v>539</v>
      </c>
      <c r="C123" s="26">
        <f>('My trades'!H142-'My trades'!F142)*'My trades'!E142</f>
        <v>0.50049929284137207</v>
      </c>
    </row>
    <row r="124" spans="1:3">
      <c r="A124" s="23" t="str">
        <f>'My trades'!A196</f>
        <v>zkxftiop</v>
      </c>
      <c r="B124" s="23">
        <f>_xlfn.DAYS('My trades'!G196,'My trades'!D196)</f>
        <v>539</v>
      </c>
      <c r="C124" s="26">
        <f>('My trades'!H196-'My trades'!F196)*'My trades'!E196</f>
        <v>0.3873951776782758</v>
      </c>
    </row>
    <row r="125" spans="1:3">
      <c r="A125" s="23" t="str">
        <f>'My trades'!A172</f>
        <v>wgzgfkki</v>
      </c>
      <c r="B125" s="23">
        <f>_xlfn.DAYS('My trades'!G172,'My trades'!D172)</f>
        <v>543</v>
      </c>
      <c r="C125" s="26">
        <f>('My trades'!H172-'My trades'!F172)*'My trades'!E172</f>
        <v>-3.4330174579970323</v>
      </c>
    </row>
    <row r="126" spans="1:3">
      <c r="A126" s="23" t="str">
        <f>'My trades'!A22</f>
        <v>dcnexoao</v>
      </c>
      <c r="B126" s="23">
        <f>_xlfn.DAYS('My trades'!G22,'My trades'!D22)</f>
        <v>546</v>
      </c>
      <c r="C126" s="26">
        <f>('My trades'!H22-'My trades'!F22)*'My trades'!E22</f>
        <v>-0.61275828035882995</v>
      </c>
    </row>
    <row r="127" spans="1:3">
      <c r="A127" s="23" t="str">
        <f>'My trades'!A24</f>
        <v>dieionnl</v>
      </c>
      <c r="B127" s="23">
        <f>_xlfn.DAYS('My trades'!G24,'My trades'!D24)</f>
        <v>547</v>
      </c>
      <c r="C127" s="26">
        <f>('My trades'!H24-'My trades'!F24)*'My trades'!E24</f>
        <v>0.76109127749102012</v>
      </c>
    </row>
    <row r="128" spans="1:3">
      <c r="A128" s="23" t="str">
        <f>'My trades'!A194</f>
        <v>yyclexzy</v>
      </c>
      <c r="B128" s="23">
        <f>_xlfn.DAYS('My trades'!G194,'My trades'!D194)</f>
        <v>552</v>
      </c>
      <c r="C128" s="26">
        <f>('My trades'!H194-'My trades'!F194)*'My trades'!E194</f>
        <v>0.27086608677204504</v>
      </c>
    </row>
    <row r="129" spans="1:3">
      <c r="A129" s="23" t="str">
        <f>'My trades'!A29</f>
        <v>egvfikiy</v>
      </c>
      <c r="B129" s="23">
        <f>_xlfn.DAYS('My trades'!G29,'My trades'!D29)</f>
        <v>557</v>
      </c>
      <c r="C129" s="26">
        <f>('My trades'!H29-'My trades'!F29)*'My trades'!E29</f>
        <v>-7.6959515288168023E-2</v>
      </c>
    </row>
    <row r="130" spans="1:3">
      <c r="A130" s="23" t="str">
        <f>'My trades'!A173</f>
        <v>wiujcxll</v>
      </c>
      <c r="B130" s="23">
        <f>_xlfn.DAYS('My trades'!G173,'My trades'!D173)</f>
        <v>565</v>
      </c>
      <c r="C130" s="26">
        <f>('My trades'!H173-'My trades'!F173)*'My trades'!E173</f>
        <v>-0.68743133338791007</v>
      </c>
    </row>
    <row r="131" spans="1:3">
      <c r="A131" s="23" t="str">
        <f>'My trades'!A146</f>
        <v>tiebtpqq</v>
      </c>
      <c r="B131" s="23">
        <f>_xlfn.DAYS('My trades'!G146,'My trades'!D146)</f>
        <v>566</v>
      </c>
      <c r="C131" s="26">
        <f>('My trades'!H146-'My trades'!F146)*'My trades'!E146</f>
        <v>0.67037100617501189</v>
      </c>
    </row>
    <row r="132" spans="1:3">
      <c r="A132" s="23" t="str">
        <f>'My trades'!A78</f>
        <v>kdxpqsjj</v>
      </c>
      <c r="B132" s="23">
        <f>_xlfn.DAYS('My trades'!G78,'My trades'!D78)</f>
        <v>568</v>
      </c>
      <c r="C132" s="26">
        <f>('My trades'!H78-'My trades'!F78)*'My trades'!E78</f>
        <v>-1.6126856601637303</v>
      </c>
    </row>
    <row r="133" spans="1:3">
      <c r="A133" s="23" t="str">
        <f>'My trades'!A10</f>
        <v>bjfxoyxb</v>
      </c>
      <c r="B133" s="23">
        <f>_xlfn.DAYS('My trades'!G10,'My trades'!D10)</f>
        <v>573</v>
      </c>
      <c r="C133" s="26">
        <f>('My trades'!H10-'My trades'!F10)*'My trades'!E10</f>
        <v>1.3264069051873706</v>
      </c>
    </row>
    <row r="134" spans="1:3">
      <c r="A134" s="23" t="str">
        <f>'My trades'!A99</f>
        <v>mjyuxzvj</v>
      </c>
      <c r="B134" s="23">
        <f>_xlfn.DAYS('My trades'!G99,'My trades'!D99)</f>
        <v>576</v>
      </c>
      <c r="C134" s="26">
        <f>('My trades'!H99-'My trades'!F99)*'My trades'!E99</f>
        <v>0.151434489277396</v>
      </c>
    </row>
    <row r="135" spans="1:3">
      <c r="A135" s="23" t="str">
        <f>'My trades'!A137</f>
        <v>scoljxeg</v>
      </c>
      <c r="B135" s="23">
        <f>_xlfn.DAYS('My trades'!G137,'My trades'!D137)</f>
        <v>581</v>
      </c>
      <c r="C135" s="26">
        <f>('My trades'!H137-'My trades'!F137)*'My trades'!E137</f>
        <v>5.4257262128768344</v>
      </c>
    </row>
    <row r="136" spans="1:3">
      <c r="A136" s="23" t="str">
        <f>'My trades'!A49</f>
        <v>hafqyymf</v>
      </c>
      <c r="B136" s="23">
        <f>_xlfn.DAYS('My trades'!G49,'My trades'!D49)</f>
        <v>588</v>
      </c>
      <c r="C136" s="26">
        <f>('My trades'!H49-'My trades'!F49)*'My trades'!E49</f>
        <v>-3.32862008852215</v>
      </c>
    </row>
    <row r="137" spans="1:3">
      <c r="A137" s="23" t="str">
        <f>'My trades'!A12</f>
        <v>brxwzrct</v>
      </c>
      <c r="B137" s="23">
        <f>_xlfn.DAYS('My trades'!G12,'My trades'!D12)</f>
        <v>589</v>
      </c>
      <c r="C137" s="26">
        <f>('My trades'!H12-'My trades'!F12)*'My trades'!E12</f>
        <v>0.47934230714693549</v>
      </c>
    </row>
    <row r="138" spans="1:3">
      <c r="A138" s="23" t="str">
        <f>'My trades'!A186</f>
        <v>ydcmffnz</v>
      </c>
      <c r="B138" s="23">
        <f>_xlfn.DAYS('My trades'!G186,'My trades'!D186)</f>
        <v>589</v>
      </c>
      <c r="C138" s="26">
        <f>('My trades'!H186-'My trades'!F186)*'My trades'!E186</f>
        <v>3.5109906860680162</v>
      </c>
    </row>
    <row r="139" spans="1:3">
      <c r="A139" s="23" t="str">
        <f>'My trades'!A198</f>
        <v>zrgkwdyf</v>
      </c>
      <c r="B139" s="23">
        <f>_xlfn.DAYS('My trades'!G198,'My trades'!D198)</f>
        <v>593</v>
      </c>
      <c r="C139" s="26">
        <f>('My trades'!H198-'My trades'!F198)*'My trades'!E198</f>
        <v>-4.2252865132784978E-2</v>
      </c>
    </row>
    <row r="140" spans="1:3">
      <c r="A140" s="23" t="str">
        <f>'My trades'!A124</f>
        <v>pysaclod</v>
      </c>
      <c r="B140" s="23">
        <f>_xlfn.DAYS('My trades'!G124,'My trades'!D124)</f>
        <v>604</v>
      </c>
      <c r="C140" s="26">
        <f>('My trades'!H124-'My trades'!F124)*'My trades'!E124</f>
        <v>-2.5501255421604032</v>
      </c>
    </row>
    <row r="141" spans="1:3">
      <c r="A141" s="23" t="str">
        <f>'My trades'!A35</f>
        <v>fenldjbq</v>
      </c>
      <c r="B141" s="23">
        <f>_xlfn.DAYS('My trades'!G35,'My trades'!D35)</f>
        <v>607</v>
      </c>
      <c r="C141" s="26">
        <f>('My trades'!H35-'My trades'!F35)*'My trades'!E35</f>
        <v>-2.7592838303516798</v>
      </c>
    </row>
    <row r="142" spans="1:3">
      <c r="A142" s="23" t="str">
        <f>'My trades'!A59</f>
        <v>hnmvqkxv</v>
      </c>
      <c r="B142" s="23">
        <f>_xlfn.DAYS('My trades'!G59,'My trades'!D59)</f>
        <v>609</v>
      </c>
      <c r="C142" s="26">
        <f>('My trades'!H59-'My trades'!F59)*'My trades'!E59</f>
        <v>-2.660822045115486</v>
      </c>
    </row>
    <row r="143" spans="1:3">
      <c r="A143" s="23" t="str">
        <f>'My trades'!A94</f>
        <v>maizvkuo</v>
      </c>
      <c r="B143" s="23">
        <f>_xlfn.DAYS('My trades'!G94,'My trades'!D94)</f>
        <v>609</v>
      </c>
      <c r="C143" s="26">
        <f>('My trades'!H94-'My trades'!F94)*'My trades'!E94</f>
        <v>5.9739185775797843E-4</v>
      </c>
    </row>
    <row r="144" spans="1:3">
      <c r="A144" s="23" t="str">
        <f>'My trades'!A128</f>
        <v>qhprzdnb</v>
      </c>
      <c r="B144" s="23">
        <f>_xlfn.DAYS('My trades'!G128,'My trades'!D128)</f>
        <v>610</v>
      </c>
      <c r="C144" s="26">
        <f>('My trades'!H128-'My trades'!F128)*'My trades'!E128</f>
        <v>0.50582577866602796</v>
      </c>
    </row>
    <row r="145" spans="1:3">
      <c r="A145" s="23" t="str">
        <f>'My trades'!A52</f>
        <v>heuzjzpi</v>
      </c>
      <c r="B145" s="23">
        <f>_xlfn.DAYS('My trades'!G52,'My trades'!D52)</f>
        <v>615</v>
      </c>
      <c r="C145" s="26">
        <f>('My trades'!H52-'My trades'!F52)*'My trades'!E52</f>
        <v>-1.5872857242842442</v>
      </c>
    </row>
    <row r="146" spans="1:3">
      <c r="A146" s="23" t="str">
        <f>'My trades'!A98</f>
        <v>mjbwcafl</v>
      </c>
      <c r="B146" s="23">
        <f>_xlfn.DAYS('My trades'!G98,'My trades'!D98)</f>
        <v>615</v>
      </c>
      <c r="C146" s="26">
        <f>('My trades'!H98-'My trades'!F98)*'My trades'!E98</f>
        <v>-1.493851455533969</v>
      </c>
    </row>
    <row r="147" spans="1:3">
      <c r="A147" s="23" t="str">
        <f>'My trades'!A64</f>
        <v>icbmbfqb</v>
      </c>
      <c r="B147" s="23">
        <f>_xlfn.DAYS('My trades'!G64,'My trades'!D64)</f>
        <v>617</v>
      </c>
      <c r="C147" s="26">
        <f>('My trades'!H64-'My trades'!F64)*'My trades'!E64</f>
        <v>-4.9242570254792817</v>
      </c>
    </row>
    <row r="148" spans="1:3">
      <c r="A148" s="23" t="str">
        <f>'My trades'!A53</f>
        <v>hfdavabb</v>
      </c>
      <c r="B148" s="23">
        <f>_xlfn.DAYS('My trades'!G53,'My trades'!D53)</f>
        <v>622</v>
      </c>
      <c r="C148" s="26">
        <f>('My trades'!H53-'My trades'!F53)*'My trades'!E53</f>
        <v>-0.30381566673822691</v>
      </c>
    </row>
    <row r="149" spans="1:3">
      <c r="A149" s="23" t="str">
        <f>'My trades'!A19</f>
        <v>cntrbotn</v>
      </c>
      <c r="B149" s="23">
        <f>_xlfn.DAYS('My trades'!G19,'My trades'!D19)</f>
        <v>623</v>
      </c>
      <c r="C149" s="26">
        <f>('My trades'!H19-'My trades'!F19)*'My trades'!E19</f>
        <v>0.44281898729743208</v>
      </c>
    </row>
    <row r="150" spans="1:3">
      <c r="A150" s="23" t="str">
        <f>'My trades'!A107</f>
        <v>nriklgrf</v>
      </c>
      <c r="B150" s="23">
        <f>_xlfn.DAYS('My trades'!G107,'My trades'!D107)</f>
        <v>623</v>
      </c>
      <c r="C150" s="26">
        <f>('My trades'!H107-'My trades'!F107)*'My trades'!E107</f>
        <v>-1.7681553669948498</v>
      </c>
    </row>
    <row r="151" spans="1:3">
      <c r="A151" s="23" t="str">
        <f>'My trades'!A189</f>
        <v>ynrcizqr</v>
      </c>
      <c r="B151" s="23">
        <f>_xlfn.DAYS('My trades'!G189,'My trades'!D189)</f>
        <v>623</v>
      </c>
      <c r="C151" s="26">
        <f>('My trades'!H189-'My trades'!F189)*'My trades'!E189</f>
        <v>-0.78347954885382642</v>
      </c>
    </row>
    <row r="152" spans="1:3">
      <c r="A152" s="23" t="str">
        <f>'My trades'!A6</f>
        <v>bbjeprsq</v>
      </c>
      <c r="B152" s="23">
        <f>_xlfn.DAYS('My trades'!G6,'My trades'!D6)</f>
        <v>626</v>
      </c>
      <c r="C152" s="26">
        <f>('My trades'!H6-'My trades'!F6)*'My trades'!E6</f>
        <v>-3.1851052688947403</v>
      </c>
    </row>
    <row r="153" spans="1:3">
      <c r="A153" s="23" t="str">
        <f>'My trades'!A21</f>
        <v>cymioqte</v>
      </c>
      <c r="B153" s="23">
        <f>_xlfn.DAYS('My trades'!G21,'My trades'!D21)</f>
        <v>634</v>
      </c>
      <c r="C153" s="26">
        <f>('My trades'!H21-'My trades'!F21)*'My trades'!E21</f>
        <v>0.301704449179653</v>
      </c>
    </row>
    <row r="154" spans="1:3">
      <c r="A154" s="23" t="str">
        <f>'My trades'!A54</f>
        <v>hfjghpbq</v>
      </c>
      <c r="B154" s="23">
        <f>_xlfn.DAYS('My trades'!G54,'My trades'!D54)</f>
        <v>635</v>
      </c>
      <c r="C154" s="26">
        <f>('My trades'!H54-'My trades'!F54)*'My trades'!E54</f>
        <v>6.5021316256868396</v>
      </c>
    </row>
    <row r="155" spans="1:3">
      <c r="A155" s="23" t="str">
        <f>'My trades'!A61</f>
        <v>hrfilyua</v>
      </c>
      <c r="B155" s="23">
        <f>_xlfn.DAYS('My trades'!G61,'My trades'!D61)</f>
        <v>644</v>
      </c>
      <c r="C155" s="26">
        <f>('My trades'!H61-'My trades'!F61)*'My trades'!E61</f>
        <v>1.1964639334637579</v>
      </c>
    </row>
    <row r="156" spans="1:3">
      <c r="A156" s="23" t="str">
        <f>'My trades'!A15</f>
        <v>cetffxgx</v>
      </c>
      <c r="B156" s="23">
        <f>_xlfn.DAYS('My trades'!G15,'My trades'!D15)</f>
        <v>668</v>
      </c>
      <c r="C156" s="26">
        <f>('My trades'!H15-'My trades'!F15)*'My trades'!E15</f>
        <v>0.52361641145730609</v>
      </c>
    </row>
    <row r="157" spans="1:3">
      <c r="A157" s="23" t="str">
        <f>'My trades'!A133</f>
        <v>rgbcrwet</v>
      </c>
      <c r="B157" s="23">
        <f>_xlfn.DAYS('My trades'!G133,'My trades'!D133)</f>
        <v>669</v>
      </c>
      <c r="C157" s="26">
        <f>('My trades'!H133-'My trades'!F133)*'My trades'!E133</f>
        <v>-1.731860524005312</v>
      </c>
    </row>
    <row r="158" spans="1:3">
      <c r="A158" s="23" t="str">
        <f>'My trades'!A181</f>
        <v>xmfevyrg</v>
      </c>
      <c r="B158" s="23">
        <f>_xlfn.DAYS('My trades'!G181,'My trades'!D181)</f>
        <v>676</v>
      </c>
      <c r="C158" s="26">
        <f>('My trades'!H181-'My trades'!F181)*'My trades'!E181</f>
        <v>1.7559577929617052</v>
      </c>
    </row>
    <row r="159" spans="1:3">
      <c r="A159" s="23" t="str">
        <f>'My trades'!A79</f>
        <v>kltxxoqv</v>
      </c>
      <c r="B159" s="23">
        <f>_xlfn.DAYS('My trades'!G79,'My trades'!D79)</f>
        <v>682</v>
      </c>
      <c r="C159" s="26">
        <f>('My trades'!H79-'My trades'!F79)*'My trades'!E79</f>
        <v>-2.6177536356825777</v>
      </c>
    </row>
    <row r="160" spans="1:3">
      <c r="A160" s="23" t="str">
        <f>'My trades'!A31</f>
        <v>ekteqlhb</v>
      </c>
      <c r="B160" s="23">
        <f>_xlfn.DAYS('My trades'!G31,'My trades'!D31)</f>
        <v>686</v>
      </c>
      <c r="C160" s="26">
        <f>('My trades'!H31-'My trades'!F31)*'My trades'!E31</f>
        <v>0.15328853698608502</v>
      </c>
    </row>
    <row r="161" spans="1:3">
      <c r="A161" s="23" t="str">
        <f>'My trades'!A66</f>
        <v>ifomvwpk</v>
      </c>
      <c r="B161" s="23">
        <f>_xlfn.DAYS('My trades'!G66,'My trades'!D66)</f>
        <v>688</v>
      </c>
      <c r="C161" s="26">
        <f>('My trades'!H66-'My trades'!F66)*'My trades'!E66</f>
        <v>-3.0697853937032005E-2</v>
      </c>
    </row>
    <row r="162" spans="1:3">
      <c r="A162" s="23" t="str">
        <f>'My trades'!A134</f>
        <v>rkupdsbn</v>
      </c>
      <c r="B162" s="23">
        <f>_xlfn.DAYS('My trades'!G134,'My trades'!D134)</f>
        <v>694</v>
      </c>
      <c r="C162" s="26">
        <f>('My trades'!H134-'My trades'!F134)*'My trades'!E134</f>
        <v>-0.22406139606151998</v>
      </c>
    </row>
    <row r="163" spans="1:3">
      <c r="A163" s="23" t="str">
        <f>'My trades'!A165</f>
        <v>vggvbbxh</v>
      </c>
      <c r="B163" s="23">
        <f>_xlfn.DAYS('My trades'!G165,'My trades'!D165)</f>
        <v>695</v>
      </c>
      <c r="C163" s="26">
        <f>('My trades'!H165-'My trades'!F165)*'My trades'!E165</f>
        <v>-5.4307098540242036</v>
      </c>
    </row>
    <row r="164" spans="1:3">
      <c r="A164" s="23" t="str">
        <f>'My trades'!A162</f>
        <v>upcbwvls</v>
      </c>
      <c r="B164" s="23">
        <f>_xlfn.DAYS('My trades'!G162,'My trades'!D162)</f>
        <v>698</v>
      </c>
      <c r="C164" s="26">
        <f>('My trades'!H162-'My trades'!F162)*'My trades'!E162</f>
        <v>1.525589636865456</v>
      </c>
    </row>
    <row r="165" spans="1:3">
      <c r="A165" s="23" t="str">
        <f>'My trades'!A154</f>
        <v>tyoavqhc</v>
      </c>
      <c r="B165" s="23">
        <f>_xlfn.DAYS('My trades'!G154,'My trades'!D154)</f>
        <v>701</v>
      </c>
      <c r="C165" s="26">
        <f>('My trades'!H154-'My trades'!F154)*'My trades'!E154</f>
        <v>0.13450365868527592</v>
      </c>
    </row>
    <row r="166" spans="1:3">
      <c r="A166" s="23" t="str">
        <f>'My trades'!A62</f>
        <v>hutszssu</v>
      </c>
      <c r="B166" s="23">
        <f>_xlfn.DAYS('My trades'!G62,'My trades'!D62)</f>
        <v>705</v>
      </c>
      <c r="C166" s="26">
        <f>('My trades'!H62-'My trades'!F62)*'My trades'!E62</f>
        <v>-4.4499802946322493</v>
      </c>
    </row>
    <row r="167" spans="1:3">
      <c r="A167" s="23" t="str">
        <f>'My trades'!A46</f>
        <v>gnghjpok</v>
      </c>
      <c r="B167" s="23">
        <f>_xlfn.DAYS('My trades'!G46,'My trades'!D46)</f>
        <v>707</v>
      </c>
      <c r="C167" s="26">
        <f>('My trades'!H46-'My trades'!F46)*'My trades'!E46</f>
        <v>-5.0188697949823471</v>
      </c>
    </row>
    <row r="168" spans="1:3">
      <c r="A168" s="23" t="str">
        <f>'My trades'!A23</f>
        <v>dcplrgaa</v>
      </c>
      <c r="B168" s="23">
        <f>_xlfn.DAYS('My trades'!G23,'My trades'!D23)</f>
        <v>708</v>
      </c>
      <c r="C168" s="26">
        <f>('My trades'!H23-'My trades'!F23)*'My trades'!E23</f>
        <v>-2.5885468441152</v>
      </c>
    </row>
    <row r="169" spans="1:3">
      <c r="A169" s="23" t="str">
        <f>'My trades'!A197</f>
        <v>zlqfijoe</v>
      </c>
      <c r="B169" s="23">
        <f>_xlfn.DAYS('My trades'!G197,'My trades'!D197)</f>
        <v>708</v>
      </c>
      <c r="C169" s="26">
        <f>('My trades'!H197-'My trades'!F197)*'My trades'!E197</f>
        <v>-6.5338594818558899</v>
      </c>
    </row>
    <row r="170" spans="1:3">
      <c r="A170" s="23" t="str">
        <f>'My trades'!A180</f>
        <v>xkdlzakx</v>
      </c>
      <c r="B170" s="23">
        <f>_xlfn.DAYS('My trades'!G180,'My trades'!D180)</f>
        <v>712</v>
      </c>
      <c r="C170" s="26">
        <f>('My trades'!H180-'My trades'!F180)*'My trades'!E180</f>
        <v>1.1097043774273523</v>
      </c>
    </row>
    <row r="171" spans="1:3">
      <c r="A171" s="23" t="str">
        <f>'My trades'!A81</f>
        <v>knifvikn</v>
      </c>
      <c r="B171" s="23">
        <f>_xlfn.DAYS('My trades'!G81,'My trades'!D81)</f>
        <v>714</v>
      </c>
      <c r="C171" s="26">
        <f>('My trades'!H81-'My trades'!F81)*'My trades'!E81</f>
        <v>0.62501571139692591</v>
      </c>
    </row>
    <row r="172" spans="1:3">
      <c r="A172" s="23" t="str">
        <f>'My trades'!A115</f>
        <v>ossshndu</v>
      </c>
      <c r="B172" s="23">
        <f>_xlfn.DAYS('My trades'!G115,'My trades'!D115)</f>
        <v>715</v>
      </c>
      <c r="C172" s="26">
        <f>('My trades'!H115-'My trades'!F115)*'My trades'!E115</f>
        <v>-4.208624827664635</v>
      </c>
    </row>
    <row r="173" spans="1:3">
      <c r="A173" s="23" t="str">
        <f>'My trades'!A83</f>
        <v>koqfbdwf</v>
      </c>
      <c r="B173" s="23">
        <f>_xlfn.DAYS('My trades'!G83,'My trades'!D83)</f>
        <v>722</v>
      </c>
      <c r="C173" s="26">
        <f>('My trades'!H83-'My trades'!F83)*'My trades'!E83</f>
        <v>1.3298450652868796</v>
      </c>
    </row>
    <row r="174" spans="1:3">
      <c r="A174" s="23" t="str">
        <f>'My trades'!A89</f>
        <v>ldjllwvy</v>
      </c>
      <c r="B174" s="23">
        <f>_xlfn.DAYS('My trades'!G89,'My trades'!D89)</f>
        <v>728</v>
      </c>
      <c r="C174" s="26">
        <f>('My trades'!H89-'My trades'!F89)*'My trades'!E89</f>
        <v>-0.57964845503028029</v>
      </c>
    </row>
    <row r="175" spans="1:3">
      <c r="A175" s="23" t="str">
        <f>'My trades'!A47</f>
        <v>goxmkirb</v>
      </c>
      <c r="B175" s="23">
        <f>_xlfn.DAYS('My trades'!G47,'My trades'!D47)</f>
        <v>730</v>
      </c>
      <c r="C175" s="26">
        <f>('My trades'!H47-'My trades'!F47)*'My trades'!E47</f>
        <v>-0.35893634273319763</v>
      </c>
    </row>
    <row r="176" spans="1:3">
      <c r="A176" s="23" t="str">
        <f>'My trades'!A126</f>
        <v>qdqbwhng</v>
      </c>
      <c r="B176" s="23">
        <f>_xlfn.DAYS('My trades'!G126,'My trades'!D126)</f>
        <v>741</v>
      </c>
      <c r="C176" s="26">
        <f>('My trades'!H126-'My trades'!F126)*'My trades'!E126</f>
        <v>2.6392607993331589</v>
      </c>
    </row>
    <row r="177" spans="1:3">
      <c r="A177" s="23" t="str">
        <f>'My trades'!A42</f>
        <v>fzpkolfu</v>
      </c>
      <c r="B177" s="23">
        <f>_xlfn.DAYS('My trades'!G42,'My trades'!D42)</f>
        <v>743</v>
      </c>
      <c r="C177" s="26">
        <f>('My trades'!H42-'My trades'!F42)*'My trades'!E42</f>
        <v>2.0811125741674505</v>
      </c>
    </row>
    <row r="178" spans="1:3">
      <c r="A178" s="23" t="str">
        <f>'My trades'!A171</f>
        <v>wgpoqytj</v>
      </c>
      <c r="B178" s="23">
        <f>_xlfn.DAYS('My trades'!G171,'My trades'!D171)</f>
        <v>744</v>
      </c>
      <c r="C178" s="26">
        <f>('My trades'!H171-'My trades'!F171)*'My trades'!E171</f>
        <v>1.2663374943292061E-2</v>
      </c>
    </row>
    <row r="179" spans="1:3">
      <c r="A179" s="23" t="str">
        <f>'My trades'!A91</f>
        <v>lkxgzzvq</v>
      </c>
      <c r="B179" s="23">
        <f>_xlfn.DAYS('My trades'!G91,'My trades'!D91)</f>
        <v>747</v>
      </c>
      <c r="C179" s="26">
        <f>('My trades'!H91-'My trades'!F91)*'My trades'!E91</f>
        <v>1.0089173340834001</v>
      </c>
    </row>
    <row r="180" spans="1:3">
      <c r="A180" s="23" t="str">
        <f>'My trades'!A188</f>
        <v>ynqvlbrq</v>
      </c>
      <c r="B180" s="23">
        <f>_xlfn.DAYS('My trades'!G188,'My trades'!D188)</f>
        <v>747</v>
      </c>
      <c r="C180" s="26">
        <f>('My trades'!H188-'My trades'!F188)*'My trades'!E188</f>
        <v>0.20832661022901502</v>
      </c>
    </row>
    <row r="181" spans="1:3">
      <c r="A181" s="23" t="str">
        <f>'My trades'!A92</f>
        <v>loffykcg</v>
      </c>
      <c r="B181" s="23">
        <f>_xlfn.DAYS('My trades'!G92,'My trades'!D92)</f>
        <v>751</v>
      </c>
      <c r="C181" s="26">
        <f>('My trades'!H92-'My trades'!F92)*'My trades'!E92</f>
        <v>-0.89242284784400605</v>
      </c>
    </row>
    <row r="182" spans="1:3">
      <c r="A182" s="23" t="str">
        <f>'My trades'!A191</f>
        <v>yrvvdedn</v>
      </c>
      <c r="B182" s="23">
        <f>_xlfn.DAYS('My trades'!G191,'My trades'!D191)</f>
        <v>752</v>
      </c>
      <c r="C182" s="26">
        <f>('My trades'!H191-'My trades'!F191)*'My trades'!E191</f>
        <v>0.41722476579256806</v>
      </c>
    </row>
    <row r="183" spans="1:3">
      <c r="A183" s="23" t="str">
        <f>'My trades'!A175</f>
        <v>wzerurjz</v>
      </c>
      <c r="B183" s="23">
        <f>_xlfn.DAYS('My trades'!G175,'My trades'!D175)</f>
        <v>753</v>
      </c>
      <c r="C183" s="26">
        <f>('My trades'!H175-'My trades'!F175)*'My trades'!E175</f>
        <v>-2.6230882843513141</v>
      </c>
    </row>
    <row r="184" spans="1:3">
      <c r="A184" s="23" t="str">
        <f>'My trades'!A130</f>
        <v>qonnwndv</v>
      </c>
      <c r="B184" s="23">
        <f>_xlfn.DAYS('My trades'!G130,'My trades'!D130)</f>
        <v>756</v>
      </c>
      <c r="C184" s="26">
        <f>('My trades'!H130-'My trades'!F130)*'My trades'!E130</f>
        <v>0.58689550890769993</v>
      </c>
    </row>
    <row r="185" spans="1:3">
      <c r="A185" s="23" t="str">
        <f>'My trades'!A136</f>
        <v>rypujago</v>
      </c>
      <c r="B185" s="23">
        <f>_xlfn.DAYS('My trades'!G136,'My trades'!D136)</f>
        <v>756</v>
      </c>
      <c r="C185" s="26">
        <f>('My trades'!H136-'My trades'!F136)*'My trades'!E136</f>
        <v>-0.10408160445723602</v>
      </c>
    </row>
    <row r="186" spans="1:3">
      <c r="A186" s="23" t="str">
        <f>'My trades'!A95</f>
        <v>mfdlyjqb</v>
      </c>
      <c r="B186" s="23">
        <f>_xlfn.DAYS('My trades'!G95,'My trades'!D95)</f>
        <v>758</v>
      </c>
      <c r="C186" s="26">
        <f>('My trades'!H95-'My trades'!F95)*'My trades'!E95</f>
        <v>-0.44170898255380009</v>
      </c>
    </row>
    <row r="187" spans="1:3">
      <c r="A187" s="23" t="str">
        <f>'My trades'!A18</f>
        <v>cnitsbpk</v>
      </c>
      <c r="B187" s="23">
        <f>_xlfn.DAYS('My trades'!G18,'My trades'!D18)</f>
        <v>762</v>
      </c>
      <c r="C187" s="26">
        <f>('My trades'!H18-'My trades'!F18)*'My trades'!E18</f>
        <v>-0.17044592791049001</v>
      </c>
    </row>
    <row r="188" spans="1:3">
      <c r="A188" s="23" t="str">
        <f>'My trades'!A90</f>
        <v>lenpuaop</v>
      </c>
      <c r="B188" s="23">
        <f>_xlfn.DAYS('My trades'!G90,'My trades'!D90)</f>
        <v>771</v>
      </c>
      <c r="C188" s="26">
        <f>('My trades'!H90-'My trades'!F90)*'My trades'!E90</f>
        <v>0.8764495480595611</v>
      </c>
    </row>
    <row r="189" spans="1:3">
      <c r="A189" s="23" t="str">
        <f>'My trades'!A96</f>
        <v>mfwvjgje</v>
      </c>
      <c r="B189" s="23">
        <f>_xlfn.DAYS('My trades'!G96,'My trades'!D96)</f>
        <v>780</v>
      </c>
      <c r="C189" s="26">
        <f>('My trades'!H96-'My trades'!F96)*'My trades'!E96</f>
        <v>-0.596471375813306</v>
      </c>
    </row>
    <row r="190" spans="1:3">
      <c r="A190" s="23" t="str">
        <f>'My trades'!A111</f>
        <v>ohtzxhrm</v>
      </c>
      <c r="B190" s="23">
        <f>_xlfn.DAYS('My trades'!G111,'My trades'!D111)</f>
        <v>791</v>
      </c>
      <c r="C190" s="26">
        <f>('My trades'!H111-'My trades'!F111)*'My trades'!E111</f>
        <v>-3.196256783170444</v>
      </c>
    </row>
    <row r="191" spans="1:3">
      <c r="A191" s="23" t="str">
        <f>'My trades'!A57</f>
        <v>hkesgmfj</v>
      </c>
      <c r="B191" s="23">
        <f>_xlfn.DAYS('My trades'!G57,'My trades'!D57)</f>
        <v>793</v>
      </c>
      <c r="C191" s="26">
        <f>('My trades'!H57-'My trades'!F57)*'My trades'!E57</f>
        <v>2.2708822152455479</v>
      </c>
    </row>
    <row r="192" spans="1:3">
      <c r="A192" s="23" t="str">
        <f>'My trades'!A33</f>
        <v>eodhevfz</v>
      </c>
      <c r="B192" s="23">
        <f>_xlfn.DAYS('My trades'!G33,'My trades'!D33)</f>
        <v>795</v>
      </c>
      <c r="C192" s="26">
        <f>('My trades'!H33-'My trades'!F33)*'My trades'!E33</f>
        <v>5.8835676533436034</v>
      </c>
    </row>
    <row r="193" spans="1:3">
      <c r="A193" s="23" t="str">
        <f>'My trades'!A106</f>
        <v>nqgoiuik</v>
      </c>
      <c r="B193" s="23">
        <f>_xlfn.DAYS('My trades'!G106,'My trades'!D106)</f>
        <v>795</v>
      </c>
      <c r="C193" s="26">
        <f>('My trades'!H106-'My trades'!F106)*'My trades'!E106</f>
        <v>0.35090031939170097</v>
      </c>
    </row>
    <row r="194" spans="1:3">
      <c r="A194" s="23" t="str">
        <f>'My trades'!A178</f>
        <v>xgszegxx</v>
      </c>
      <c r="B194" s="23">
        <f>_xlfn.DAYS('My trades'!G178,'My trades'!D178)</f>
        <v>795</v>
      </c>
      <c r="C194" s="26">
        <f>('My trades'!H178-'My trades'!F178)*'My trades'!E178</f>
        <v>0.58011727073419816</v>
      </c>
    </row>
    <row r="195" spans="1:3">
      <c r="A195" s="23" t="str">
        <f>'My trades'!A144</f>
        <v>tazccemg</v>
      </c>
      <c r="B195" s="23">
        <f>_xlfn.DAYS('My trades'!G144,'My trades'!D144)</f>
        <v>806</v>
      </c>
      <c r="C195" s="26">
        <f>('My trades'!H144-'My trades'!F144)*'My trades'!E144</f>
        <v>-0.2484879527768751</v>
      </c>
    </row>
    <row r="196" spans="1:3">
      <c r="A196" s="23" t="str">
        <f>'My trades'!A156</f>
        <v>ueoaufxg</v>
      </c>
      <c r="B196" s="23">
        <f>_xlfn.DAYS('My trades'!G156,'My trades'!D156)</f>
        <v>811</v>
      </c>
      <c r="C196" s="26">
        <f>('My trades'!H156-'My trades'!F156)*'My trades'!E156</f>
        <v>2.5055518026755124</v>
      </c>
    </row>
    <row r="197" spans="1:3">
      <c r="A197" s="23" t="str">
        <f>'My trades'!A131</f>
        <v>rcmrnpig</v>
      </c>
      <c r="B197" s="23">
        <f>_xlfn.DAYS('My trades'!G131,'My trades'!D131)</f>
        <v>818</v>
      </c>
      <c r="C197" s="26">
        <f>('My trades'!H131-'My trades'!F131)*'My trades'!E131</f>
        <v>7.1721763351570438</v>
      </c>
    </row>
    <row r="198" spans="1:3">
      <c r="A198" s="23" t="str">
        <f>'My trades'!A176</f>
        <v>xbcdvdtp</v>
      </c>
      <c r="B198" s="23">
        <f>_xlfn.DAYS('My trades'!G176,'My trades'!D176)</f>
        <v>838</v>
      </c>
      <c r="C198" s="26">
        <f>('My trades'!H176-'My trades'!F176)*'My trades'!E176</f>
        <v>-2.5022226206590386</v>
      </c>
    </row>
    <row r="199" spans="1:3">
      <c r="A199" s="23" t="str">
        <f>'My trades'!A3</f>
        <v>aieoltom</v>
      </c>
      <c r="B199" s="23">
        <f>_xlfn.DAYS('My trades'!G3,'My trades'!D3)</f>
        <v>839</v>
      </c>
      <c r="C199" s="26">
        <f>('My trades'!H3-'My trades'!F3)*'My trades'!E3</f>
        <v>0.49681701762970598</v>
      </c>
    </row>
    <row r="200" spans="1:3">
      <c r="A200" s="23" t="str">
        <f>'My trades'!A37</f>
        <v>fjcdzhde</v>
      </c>
      <c r="B200" s="23">
        <f>_xlfn.DAYS('My trades'!G37,'My trades'!D37)</f>
        <v>851</v>
      </c>
      <c r="C200" s="26">
        <f>('My trades'!H37-'My trades'!F37)*'My trades'!E37</f>
        <v>-1.4878863200993582</v>
      </c>
    </row>
    <row r="201" spans="1:3">
      <c r="A201" s="23" t="str">
        <f>'My trades'!A20</f>
        <v>cwuqczya</v>
      </c>
      <c r="B201" s="23">
        <f>_xlfn.DAYS('My trades'!G20,'My trades'!D20)</f>
        <v>862</v>
      </c>
      <c r="C201" s="26">
        <f>('My trades'!H20-'My trades'!F20)*'My trades'!E20</f>
        <v>0.29609314466304898</v>
      </c>
    </row>
    <row r="202" spans="1:3" hidden="1"/>
    <row r="203" spans="1:3" hidden="1"/>
    <row r="204" spans="1:3" hidden="1"/>
    <row r="205" spans="1:3" hidden="1"/>
    <row r="206" spans="1:3" hidden="1"/>
    <row r="207" spans="1:3" hidden="1"/>
    <row r="208" spans="1:3" hidden="1"/>
    <row r="209" hidden="1"/>
    <row r="210" hidden="1"/>
    <row r="211" hidden="1"/>
    <row r="212" hidden="1"/>
  </sheetData>
  <autoFilter ref="B1:B212" xr:uid="{6E071CDE-2732-4A2D-91A4-70C93A416FEA}">
    <filterColumn colId="0">
      <customFilters>
        <customFilter operator="notEqual" val=" "/>
      </customFilters>
    </filterColumn>
    <sortState xmlns:xlrd2="http://schemas.microsoft.com/office/spreadsheetml/2017/richdata2" ref="A2:C212">
      <sortCondition ref="B1:B212"/>
    </sortState>
  </autoFilter>
  <pageMargins left="0.7" right="0.7" top="0.75" bottom="0.75" header="0.3" footer="0.3"/>
  <pageSetup paperSize="9" orientation="portrait" horizontalDpi="0"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2AE4F-DB9C-47BD-AB96-72D11B0D5551}">
  <sheetPr>
    <pageSetUpPr fitToPage="1"/>
  </sheetPr>
  <dimension ref="A1:Y205"/>
  <sheetViews>
    <sheetView showGridLines="0" workbookViewId="0">
      <selection activeCell="L33" sqref="L33"/>
    </sheetView>
  </sheetViews>
  <sheetFormatPr defaultRowHeight="12.75"/>
  <cols>
    <col min="2" max="2" width="13.5703125" bestFit="1" customWidth="1"/>
    <col min="3" max="4" width="10" bestFit="1" customWidth="1"/>
    <col min="13" max="13" width="10.7109375" bestFit="1" customWidth="1"/>
    <col min="18" max="18" width="10" bestFit="1" customWidth="1"/>
    <col min="25" max="25" width="10.85546875" customWidth="1"/>
  </cols>
  <sheetData>
    <row r="1" spans="1:25" ht="21" thickTop="1" thickBot="1">
      <c r="C1" s="47" t="s">
        <v>252</v>
      </c>
      <c r="D1" s="48"/>
      <c r="E1" s="48"/>
      <c r="F1" s="48"/>
      <c r="G1" s="48"/>
      <c r="H1" s="48"/>
      <c r="I1" s="48"/>
      <c r="J1" s="48"/>
      <c r="K1" s="48"/>
      <c r="L1" s="48"/>
      <c r="M1" s="49"/>
    </row>
    <row r="2" spans="1:25" ht="21" thickTop="1" thickBot="1">
      <c r="C2" s="50">
        <v>1</v>
      </c>
      <c r="D2" s="51">
        <v>2</v>
      </c>
      <c r="E2" s="51">
        <v>3</v>
      </c>
      <c r="F2" s="29">
        <v>4</v>
      </c>
      <c r="G2" s="52">
        <v>5</v>
      </c>
      <c r="H2" s="53">
        <v>6</v>
      </c>
      <c r="I2" s="53">
        <v>7</v>
      </c>
      <c r="J2" s="53">
        <v>8</v>
      </c>
      <c r="K2" s="29">
        <v>9</v>
      </c>
      <c r="L2" s="54">
        <v>10</v>
      </c>
      <c r="M2" s="29" t="s">
        <v>253</v>
      </c>
    </row>
    <row r="3" spans="1:25" ht="14.25" customHeight="1" thickTop="1" thickBot="1">
      <c r="A3" s="55" t="s">
        <v>2</v>
      </c>
      <c r="B3" s="31" t="s">
        <v>10</v>
      </c>
      <c r="C3" s="25">
        <f>COUNTIFS('My trades'!$C:$C, $B3,'My trades'!$E:$E,C$2)</f>
        <v>4</v>
      </c>
      <c r="D3" s="25">
        <f>COUNTIFS('My trades'!$C:$C, $B3,'My trades'!$E:$E,D$2)</f>
        <v>4</v>
      </c>
      <c r="E3" s="25">
        <f>COUNTIFS('My trades'!$C:$C, $B3,'My trades'!$E:$E,E$2)</f>
        <v>4</v>
      </c>
      <c r="F3" s="25">
        <f>COUNTIFS('My trades'!$C:$C, $B3,'My trades'!$E:$E,F$2)</f>
        <v>1</v>
      </c>
      <c r="G3" s="25">
        <f>COUNTIFS('My trades'!$C:$C, $B3,'My trades'!$E:$E,G$2)</f>
        <v>1</v>
      </c>
      <c r="H3" s="25">
        <f>COUNTIFS('My trades'!$C:$C, $B3,'My trades'!$E:$E,H$2)</f>
        <v>3</v>
      </c>
      <c r="I3" s="25">
        <f>COUNTIFS('My trades'!$C:$C, $B3,'My trades'!$E:$E,I$2)</f>
        <v>2</v>
      </c>
      <c r="J3" s="25">
        <f>COUNTIFS('My trades'!$C:$C, $B3,'My trades'!$E:$E,J$2)</f>
        <v>1</v>
      </c>
      <c r="K3" s="25">
        <f>COUNTIFS('My trades'!$C:$C, $B3,'My trades'!$E:$E,K$2)</f>
        <v>2</v>
      </c>
      <c r="L3" s="25">
        <f>COUNTIFS('My trades'!$C:$C, $B3,'My trades'!$E:$E,L$2)</f>
        <v>2</v>
      </c>
      <c r="M3" s="25">
        <f>SUM(C3:L3)</f>
        <v>24</v>
      </c>
      <c r="O3" s="37" t="s">
        <v>254</v>
      </c>
      <c r="P3" s="38"/>
      <c r="Q3" s="38"/>
      <c r="R3" s="38"/>
      <c r="S3" s="38"/>
      <c r="T3" s="38"/>
      <c r="U3" s="38"/>
      <c r="V3" s="38"/>
      <c r="W3" s="38"/>
      <c r="X3" s="38"/>
      <c r="Y3" s="39"/>
    </row>
    <row r="4" spans="1:25" ht="14.25" customHeight="1" thickTop="1" thickBot="1">
      <c r="A4" s="55"/>
      <c r="B4" s="31" t="s">
        <v>13</v>
      </c>
      <c r="C4" s="25">
        <f>COUNTIFS('My trades'!$C:$C, $B4,'My trades'!$E:$E,C$2)</f>
        <v>0</v>
      </c>
      <c r="D4" s="25">
        <f>COUNTIFS('My trades'!$C:$C, $B4,'My trades'!$E:$E,D$2)</f>
        <v>2</v>
      </c>
      <c r="E4" s="25">
        <f>COUNTIFS('My trades'!$C:$C, $B4,'My trades'!$E:$E,E$2)</f>
        <v>1</v>
      </c>
      <c r="F4" s="25">
        <f>COUNTIFS('My trades'!$C:$C, $B4,'My trades'!$E:$E,F$2)</f>
        <v>1</v>
      </c>
      <c r="G4" s="25">
        <f>COUNTIFS('My trades'!$C:$C, $B4,'My trades'!$E:$E,G$2)</f>
        <v>1</v>
      </c>
      <c r="H4" s="25">
        <f>COUNTIFS('My trades'!$C:$C, $B4,'My trades'!$E:$E,H$2)</f>
        <v>1</v>
      </c>
      <c r="I4" s="25">
        <f>COUNTIFS('My trades'!$C:$C, $B4,'My trades'!$E:$E,I$2)</f>
        <v>0</v>
      </c>
      <c r="J4" s="25">
        <f>COUNTIFS('My trades'!$C:$C, $B4,'My trades'!$E:$E,J$2)</f>
        <v>1</v>
      </c>
      <c r="K4" s="25">
        <f>COUNTIFS('My trades'!$C:$C, $B4,'My trades'!$E:$E,K$2)</f>
        <v>0</v>
      </c>
      <c r="L4" s="25">
        <f>COUNTIFS('My trades'!$C:$C, $B4,'My trades'!$E:$E,L$2)</f>
        <v>1</v>
      </c>
      <c r="M4" s="25">
        <f>SUM(C4:L4)</f>
        <v>8</v>
      </c>
      <c r="O4" s="40">
        <f>I15/M20</f>
        <v>0.01</v>
      </c>
      <c r="P4" s="41"/>
      <c r="Q4" s="41"/>
      <c r="R4" s="41"/>
      <c r="S4" s="41"/>
      <c r="T4" s="41"/>
      <c r="U4" s="41"/>
      <c r="V4" s="41"/>
      <c r="W4" s="41"/>
      <c r="X4" s="41"/>
      <c r="Y4" s="42"/>
    </row>
    <row r="5" spans="1:25" ht="14.25" customHeight="1" thickTop="1" thickBot="1">
      <c r="A5" s="55"/>
      <c r="B5" s="31" t="s">
        <v>18</v>
      </c>
      <c r="C5" s="25">
        <f>COUNTIFS('My trades'!$C:$C, $B5,'My trades'!$E:$E,C$2)</f>
        <v>2</v>
      </c>
      <c r="D5" s="25">
        <f>COUNTIFS('My trades'!$C:$C, $B5,'My trades'!$E:$E,D$2)</f>
        <v>0</v>
      </c>
      <c r="E5" s="25">
        <f>COUNTIFS('My trades'!$C:$C, $B5,'My trades'!$E:$E,E$2)</f>
        <v>0</v>
      </c>
      <c r="F5" s="25">
        <f>COUNTIFS('My trades'!$C:$C, $B5,'My trades'!$E:$E,F$2)</f>
        <v>0</v>
      </c>
      <c r="G5" s="25">
        <f>COUNTIFS('My trades'!$C:$C, $B5,'My trades'!$E:$E,G$2)</f>
        <v>0</v>
      </c>
      <c r="H5" s="25">
        <f>COUNTIFS('My trades'!$C:$C, $B5,'My trades'!$E:$E,H$2)</f>
        <v>2</v>
      </c>
      <c r="I5" s="25">
        <f>COUNTIFS('My trades'!$C:$C, $B5,'My trades'!$E:$E,I$2)</f>
        <v>0</v>
      </c>
      <c r="J5" s="25">
        <f>COUNTIFS('My trades'!$C:$C, $B5,'My trades'!$E:$E,J$2)</f>
        <v>2</v>
      </c>
      <c r="K5" s="25">
        <f>COUNTIFS('My trades'!$C:$C, $B5,'My trades'!$E:$E,K$2)</f>
        <v>1</v>
      </c>
      <c r="L5" s="25">
        <f>COUNTIFS('My trades'!$C:$C, $B5,'My trades'!$E:$E,L$2)</f>
        <v>1</v>
      </c>
      <c r="M5" s="25">
        <f t="shared" ref="M5:M19" si="0">SUM(C5:L5)</f>
        <v>8</v>
      </c>
    </row>
    <row r="6" spans="1:25" ht="14.25" customHeight="1" thickTop="1" thickBot="1">
      <c r="A6" s="55"/>
      <c r="B6" s="31" t="s">
        <v>22</v>
      </c>
      <c r="C6" s="25">
        <f>COUNTIFS('My trades'!$C:$C, $B6,'My trades'!$E:$E,C$2)</f>
        <v>3</v>
      </c>
      <c r="D6" s="25">
        <f>COUNTIFS('My trades'!$C:$C, $B6,'My trades'!$E:$E,D$2)</f>
        <v>1</v>
      </c>
      <c r="E6" s="25">
        <f>COUNTIFS('My trades'!$C:$C, $B6,'My trades'!$E:$E,E$2)</f>
        <v>2</v>
      </c>
      <c r="F6" s="25">
        <f>COUNTIFS('My trades'!$C:$C, $B6,'My trades'!$E:$E,F$2)</f>
        <v>3</v>
      </c>
      <c r="G6" s="25">
        <f>COUNTIFS('My trades'!$C:$C, $B6,'My trades'!$E:$E,G$2)</f>
        <v>2</v>
      </c>
      <c r="H6" s="25">
        <f>COUNTIFS('My trades'!$C:$C, $B6,'My trades'!$E:$E,H$2)</f>
        <v>3</v>
      </c>
      <c r="I6" s="25">
        <f>COUNTIFS('My trades'!$C:$C, $B6,'My trades'!$E:$E,I$2)</f>
        <v>0</v>
      </c>
      <c r="J6" s="25">
        <f>COUNTIFS('My trades'!$C:$C, $B6,'My trades'!$E:$E,J$2)</f>
        <v>0</v>
      </c>
      <c r="K6" s="25">
        <f>COUNTIFS('My trades'!$C:$C, $B6,'My trades'!$E:$E,K$2)</f>
        <v>1</v>
      </c>
      <c r="L6" s="25">
        <f>COUNTIFS('My trades'!$C:$C, $B6,'My trades'!$E:$E,L$2)</f>
        <v>1</v>
      </c>
      <c r="M6" s="25">
        <f t="shared" si="0"/>
        <v>16</v>
      </c>
    </row>
    <row r="7" spans="1:25" ht="14.25" customHeight="1" thickTop="1" thickBot="1">
      <c r="A7" s="55"/>
      <c r="B7" s="31" t="s">
        <v>25</v>
      </c>
      <c r="C7" s="25">
        <f>COUNTIFS('My trades'!$C:$C, $B7,'My trades'!$E:$E,C$2)</f>
        <v>2</v>
      </c>
      <c r="D7" s="25">
        <f>COUNTIFS('My trades'!$C:$C, $B7,'My trades'!$E:$E,D$2)</f>
        <v>0</v>
      </c>
      <c r="E7" s="25">
        <f>COUNTIFS('My trades'!$C:$C, $B7,'My trades'!$E:$E,E$2)</f>
        <v>2</v>
      </c>
      <c r="F7" s="25">
        <f>COUNTIFS('My trades'!$C:$C, $B7,'My trades'!$E:$E,F$2)</f>
        <v>0</v>
      </c>
      <c r="G7" s="25">
        <f>COUNTIFS('My trades'!$C:$C, $B7,'My trades'!$E:$E,G$2)</f>
        <v>0</v>
      </c>
      <c r="H7" s="25">
        <f>COUNTIFS('My trades'!$C:$C, $B7,'My trades'!$E:$E,H$2)</f>
        <v>1</v>
      </c>
      <c r="I7" s="25">
        <f>COUNTIFS('My trades'!$C:$C, $B7,'My trades'!$E:$E,I$2)</f>
        <v>2</v>
      </c>
      <c r="J7" s="25">
        <f>COUNTIFS('My trades'!$C:$C, $B7,'My trades'!$E:$E,J$2)</f>
        <v>1</v>
      </c>
      <c r="K7" s="25">
        <f>COUNTIFS('My trades'!$C:$C, $B7,'My trades'!$E:$E,K$2)</f>
        <v>0</v>
      </c>
      <c r="L7" s="25">
        <f>COUNTIFS('My trades'!$C:$C, $B7,'My trades'!$E:$E,L$2)</f>
        <v>0</v>
      </c>
      <c r="M7" s="25">
        <f t="shared" si="0"/>
        <v>8</v>
      </c>
    </row>
    <row r="8" spans="1:25" ht="14.25" customHeight="1" thickTop="1" thickBot="1">
      <c r="A8" s="55"/>
      <c r="B8" s="32" t="s">
        <v>28</v>
      </c>
      <c r="C8" s="25">
        <f>COUNTIFS('My trades'!$C:$C, $B8,'My trades'!$E:$E,C$2)</f>
        <v>2</v>
      </c>
      <c r="D8" s="25">
        <f>COUNTIFS('My trades'!$C:$C, $B8,'My trades'!$E:$E,D$2)</f>
        <v>0</v>
      </c>
      <c r="E8" s="25">
        <f>COUNTIFS('My trades'!$C:$C, $B8,'My trades'!$E:$E,E$2)</f>
        <v>1</v>
      </c>
      <c r="F8" s="25">
        <f>COUNTIFS('My trades'!$C:$C, $B8,'My trades'!$E:$E,F$2)</f>
        <v>2</v>
      </c>
      <c r="G8" s="25">
        <f>COUNTIFS('My trades'!$C:$C, $B8,'My trades'!$E:$E,G$2)</f>
        <v>1</v>
      </c>
      <c r="H8" s="25">
        <f>COUNTIFS('My trades'!$C:$C, $B8,'My trades'!$E:$E,H$2)</f>
        <v>1</v>
      </c>
      <c r="I8" s="25">
        <f>COUNTIFS('My trades'!$C:$C, $B8,'My trades'!$E:$E,I$2)</f>
        <v>0</v>
      </c>
      <c r="J8" s="25">
        <f>COUNTIFS('My trades'!$C:$C, $B8,'My trades'!$E:$E,J$2)</f>
        <v>0</v>
      </c>
      <c r="K8" s="25">
        <f>COUNTIFS('My trades'!$C:$C, $B8,'My trades'!$E:$E,K$2)</f>
        <v>0</v>
      </c>
      <c r="L8" s="25">
        <f>COUNTIFS('My trades'!$C:$C, $B8,'My trades'!$E:$E,L$2)</f>
        <v>1</v>
      </c>
      <c r="M8" s="25">
        <f t="shared" si="0"/>
        <v>8</v>
      </c>
    </row>
    <row r="9" spans="1:25" ht="14.25" customHeight="1" thickTop="1" thickBot="1">
      <c r="A9" s="55"/>
      <c r="B9" s="33" t="s">
        <v>31</v>
      </c>
      <c r="C9" s="25">
        <f>COUNTIFS('My trades'!$C:$C, $B9,'My trades'!$E:$E,C$2)</f>
        <v>0</v>
      </c>
      <c r="D9" s="25">
        <f>COUNTIFS('My trades'!$C:$C, $B9,'My trades'!$E:$E,D$2)</f>
        <v>2</v>
      </c>
      <c r="E9" s="25">
        <f>COUNTIFS('My trades'!$C:$C, $B9,'My trades'!$E:$E,E$2)</f>
        <v>0</v>
      </c>
      <c r="F9" s="25">
        <f>COUNTIFS('My trades'!$C:$C, $B9,'My trades'!$E:$E,F$2)</f>
        <v>0</v>
      </c>
      <c r="G9" s="25">
        <f>COUNTIFS('My trades'!$C:$C, $B9,'My trades'!$E:$E,G$2)</f>
        <v>2</v>
      </c>
      <c r="H9" s="25">
        <f>COUNTIFS('My trades'!$C:$C, $B9,'My trades'!$E:$E,H$2)</f>
        <v>2</v>
      </c>
      <c r="I9" s="25">
        <f>COUNTIFS('My trades'!$C:$C, $B9,'My trades'!$E:$E,I$2)</f>
        <v>0</v>
      </c>
      <c r="J9" s="25">
        <f>COUNTIFS('My trades'!$C:$C, $B9,'My trades'!$E:$E,J$2)</f>
        <v>0</v>
      </c>
      <c r="K9" s="25">
        <f>COUNTIFS('My trades'!$C:$C, $B9,'My trades'!$E:$E,K$2)</f>
        <v>0</v>
      </c>
      <c r="L9" s="25">
        <f>COUNTIFS('My trades'!$C:$C, $B9,'My trades'!$E:$E,L$2)</f>
        <v>2</v>
      </c>
      <c r="M9" s="25">
        <f t="shared" si="0"/>
        <v>8</v>
      </c>
    </row>
    <row r="10" spans="1:25" ht="14.25" customHeight="1" thickTop="1" thickBot="1">
      <c r="A10" s="55"/>
      <c r="B10" s="31" t="s">
        <v>35</v>
      </c>
      <c r="C10" s="25">
        <f>COUNTIFS('My trades'!$C:$C, $B10,'My trades'!$E:$E,C$2)</f>
        <v>1</v>
      </c>
      <c r="D10" s="25">
        <f>COUNTIFS('My trades'!$C:$C, $B10,'My trades'!$E:$E,D$2)</f>
        <v>1</v>
      </c>
      <c r="E10" s="25">
        <f>COUNTIFS('My trades'!$C:$C, $B10,'My trades'!$E:$E,E$2)</f>
        <v>3</v>
      </c>
      <c r="F10" s="25">
        <f>COUNTIFS('My trades'!$C:$C, $B10,'My trades'!$E:$E,F$2)</f>
        <v>0</v>
      </c>
      <c r="G10" s="25">
        <f>COUNTIFS('My trades'!$C:$C, $B10,'My trades'!$E:$E,G$2)</f>
        <v>4</v>
      </c>
      <c r="H10" s="25">
        <f>COUNTIFS('My trades'!$C:$C, $B10,'My trades'!$E:$E,H$2)</f>
        <v>4</v>
      </c>
      <c r="I10" s="25">
        <f>COUNTIFS('My trades'!$C:$C, $B10,'My trades'!$E:$E,I$2)</f>
        <v>1</v>
      </c>
      <c r="J10" s="25">
        <f>COUNTIFS('My trades'!$C:$C, $B10,'My trades'!$E:$E,J$2)</f>
        <v>0</v>
      </c>
      <c r="K10" s="25">
        <f>COUNTIFS('My trades'!$C:$C, $B10,'My trades'!$E:$E,K$2)</f>
        <v>2</v>
      </c>
      <c r="L10" s="25">
        <f>COUNTIFS('My trades'!$C:$C, $B10,'My trades'!$E:$E,L$2)</f>
        <v>0</v>
      </c>
      <c r="M10" s="25">
        <f t="shared" si="0"/>
        <v>16</v>
      </c>
    </row>
    <row r="11" spans="1:25" ht="14.25" customHeight="1" thickTop="1" thickBot="1">
      <c r="A11" s="55"/>
      <c r="B11" s="31" t="s">
        <v>40</v>
      </c>
      <c r="C11" s="25">
        <f>COUNTIFS('My trades'!$C:$C, $B11,'My trades'!$E:$E,C$2)</f>
        <v>1</v>
      </c>
      <c r="D11" s="25">
        <f>COUNTIFS('My trades'!$C:$C, $B11,'My trades'!$E:$E,D$2)</f>
        <v>2</v>
      </c>
      <c r="E11" s="25">
        <f>COUNTIFS('My trades'!$C:$C, $B11,'My trades'!$E:$E,E$2)</f>
        <v>0</v>
      </c>
      <c r="F11" s="25">
        <f>COUNTIFS('My trades'!$C:$C, $B11,'My trades'!$E:$E,F$2)</f>
        <v>0</v>
      </c>
      <c r="G11" s="25">
        <f>COUNTIFS('My trades'!$C:$C, $B11,'My trades'!$E:$E,G$2)</f>
        <v>2</v>
      </c>
      <c r="H11" s="25">
        <f>COUNTIFS('My trades'!$C:$C, $B11,'My trades'!$E:$E,H$2)</f>
        <v>1</v>
      </c>
      <c r="I11" s="25">
        <f>COUNTIFS('My trades'!$C:$C, $B11,'My trades'!$E:$E,I$2)</f>
        <v>2</v>
      </c>
      <c r="J11" s="25">
        <f>COUNTIFS('My trades'!$C:$C, $B11,'My trades'!$E:$E,J$2)</f>
        <v>0</v>
      </c>
      <c r="K11" s="25">
        <f>COUNTIFS('My trades'!$C:$C, $B11,'My trades'!$E:$E,K$2)</f>
        <v>0</v>
      </c>
      <c r="L11" s="25">
        <f>COUNTIFS('My trades'!$C:$C, $B11,'My trades'!$E:$E,L$2)</f>
        <v>0</v>
      </c>
      <c r="M11" s="25">
        <f t="shared" si="0"/>
        <v>8</v>
      </c>
    </row>
    <row r="12" spans="1:25" ht="14.25" customHeight="1" thickTop="1" thickBot="1">
      <c r="A12" s="55"/>
      <c r="B12" s="31" t="s">
        <v>44</v>
      </c>
      <c r="C12" s="25">
        <f>COUNTIFS('My trades'!$C:$C, $B12,'My trades'!$E:$E,C$2)</f>
        <v>1</v>
      </c>
      <c r="D12" s="25">
        <f>COUNTIFS('My trades'!$C:$C, $B12,'My trades'!$E:$E,D$2)</f>
        <v>1</v>
      </c>
      <c r="E12" s="25">
        <f>COUNTIFS('My trades'!$C:$C, $B12,'My trades'!$E:$E,E$2)</f>
        <v>1</v>
      </c>
      <c r="F12" s="25">
        <f>COUNTIFS('My trades'!$C:$C, $B12,'My trades'!$E:$E,F$2)</f>
        <v>0</v>
      </c>
      <c r="G12" s="25">
        <f>COUNTIFS('My trades'!$C:$C, $B12,'My trades'!$E:$E,G$2)</f>
        <v>0</v>
      </c>
      <c r="H12" s="25">
        <f>COUNTIFS('My trades'!$C:$C, $B12,'My trades'!$E:$E,H$2)</f>
        <v>2</v>
      </c>
      <c r="I12" s="25">
        <f>COUNTIFS('My trades'!$C:$C, $B12,'My trades'!$E:$E,I$2)</f>
        <v>0</v>
      </c>
      <c r="J12" s="25">
        <f>COUNTIFS('My trades'!$C:$C, $B12,'My trades'!$E:$E,J$2)</f>
        <v>2</v>
      </c>
      <c r="K12" s="25">
        <f>COUNTIFS('My trades'!$C:$C, $B12,'My trades'!$E:$E,K$2)</f>
        <v>1</v>
      </c>
      <c r="L12" s="25">
        <f>COUNTIFS('My trades'!$C:$C, $B12,'My trades'!$E:$E,L$2)</f>
        <v>0</v>
      </c>
      <c r="M12" s="25">
        <f t="shared" si="0"/>
        <v>8</v>
      </c>
    </row>
    <row r="13" spans="1:25" ht="14.25" customHeight="1" thickTop="1" thickBot="1">
      <c r="A13" s="55"/>
      <c r="B13" s="31" t="s">
        <v>47</v>
      </c>
      <c r="C13" s="25">
        <f>COUNTIFS('My trades'!$C:$C, $B13,'My trades'!$E:$E,C$2)</f>
        <v>0</v>
      </c>
      <c r="D13" s="25">
        <f>COUNTIFS('My trades'!$C:$C, $B13,'My trades'!$E:$E,D$2)</f>
        <v>0</v>
      </c>
      <c r="E13" s="25">
        <f>COUNTIFS('My trades'!$C:$C, $B13,'My trades'!$E:$E,E$2)</f>
        <v>0</v>
      </c>
      <c r="F13" s="25">
        <f>COUNTIFS('My trades'!$C:$C, $B13,'My trades'!$E:$E,F$2)</f>
        <v>0</v>
      </c>
      <c r="G13" s="25">
        <f>COUNTIFS('My trades'!$C:$C, $B13,'My trades'!$E:$E,G$2)</f>
        <v>3</v>
      </c>
      <c r="H13" s="25">
        <f>COUNTIFS('My trades'!$C:$C, $B13,'My trades'!$E:$E,H$2)</f>
        <v>1</v>
      </c>
      <c r="I13" s="25">
        <f>COUNTIFS('My trades'!$C:$C, $B13,'My trades'!$E:$E,I$2)</f>
        <v>2</v>
      </c>
      <c r="J13" s="25">
        <f>COUNTIFS('My trades'!$C:$C, $B13,'My trades'!$E:$E,J$2)</f>
        <v>0</v>
      </c>
      <c r="K13" s="25">
        <f>COUNTIFS('My trades'!$C:$C, $B13,'My trades'!$E:$E,K$2)</f>
        <v>1</v>
      </c>
      <c r="L13" s="25">
        <f>COUNTIFS('My trades'!$C:$C, $B13,'My trades'!$E:$E,L$2)</f>
        <v>1</v>
      </c>
      <c r="M13" s="25">
        <f t="shared" si="0"/>
        <v>8</v>
      </c>
      <c r="O13" s="34" t="s">
        <v>255</v>
      </c>
      <c r="P13" s="35"/>
      <c r="Q13" s="35"/>
      <c r="R13" s="35"/>
      <c r="S13" s="35"/>
      <c r="T13" s="35"/>
      <c r="U13" s="35"/>
      <c r="V13" s="35"/>
      <c r="W13" s="35"/>
      <c r="X13" s="35"/>
      <c r="Y13" s="36"/>
    </row>
    <row r="14" spans="1:25" ht="14.25" customHeight="1" thickTop="1" thickBot="1">
      <c r="A14" s="55"/>
      <c r="B14" s="31" t="s">
        <v>50</v>
      </c>
      <c r="C14" s="25">
        <f>COUNTIFS('My trades'!$C:$C, $B14,'My trades'!$E:$E,C$2)</f>
        <v>2</v>
      </c>
      <c r="D14" s="25">
        <f>COUNTIFS('My trades'!$C:$C, $B14,'My trades'!$E:$E,D$2)</f>
        <v>1</v>
      </c>
      <c r="E14" s="25">
        <f>COUNTIFS('My trades'!$C:$C, $B14,'My trades'!$E:$E,E$2)</f>
        <v>1</v>
      </c>
      <c r="F14" s="25">
        <f>COUNTIFS('My trades'!$C:$C, $B14,'My trades'!$E:$E,F$2)</f>
        <v>6</v>
      </c>
      <c r="G14" s="25">
        <f>COUNTIFS('My trades'!$C:$C, $B14,'My trades'!$E:$E,G$2)</f>
        <v>1</v>
      </c>
      <c r="H14" s="25">
        <f>COUNTIFS('My trades'!$C:$C, $B14,'My trades'!$E:$E,H$2)</f>
        <v>2</v>
      </c>
      <c r="I14" s="25">
        <f>COUNTIFS('My trades'!$C:$C, $B14,'My trades'!$E:$E,I$2)</f>
        <v>0</v>
      </c>
      <c r="J14" s="25">
        <f>COUNTIFS('My trades'!$C:$C, $B14,'My trades'!$E:$E,J$2)</f>
        <v>1</v>
      </c>
      <c r="K14" s="25">
        <f>COUNTIFS('My trades'!$C:$C, $B14,'My trades'!$E:$E,K$2)</f>
        <v>2</v>
      </c>
      <c r="L14" s="25">
        <f>COUNTIFS('My trades'!$C:$C, $B14,'My trades'!$E:$E,L$2)</f>
        <v>0</v>
      </c>
      <c r="M14" s="25">
        <f t="shared" si="0"/>
        <v>16</v>
      </c>
      <c r="O14" s="43" t="s">
        <v>256</v>
      </c>
      <c r="P14" s="44"/>
      <c r="Q14" s="44"/>
      <c r="R14" s="44"/>
      <c r="S14" s="44"/>
      <c r="T14" s="44"/>
      <c r="U14" s="44"/>
      <c r="V14" s="44"/>
      <c r="W14" s="44"/>
      <c r="X14" s="44"/>
      <c r="Y14" s="45"/>
    </row>
    <row r="15" spans="1:25" ht="14.25" customHeight="1" thickTop="1" thickBot="1">
      <c r="A15" s="55"/>
      <c r="B15" s="31" t="s">
        <v>55</v>
      </c>
      <c r="C15" s="25">
        <f>COUNTIFS('My trades'!$C:$C, $B15,'My trades'!$E:$E,C$2)</f>
        <v>1</v>
      </c>
      <c r="D15" s="25">
        <f>COUNTIFS('My trades'!$C:$C, $B15,'My trades'!$E:$E,D$2)</f>
        <v>2</v>
      </c>
      <c r="E15" s="25">
        <f>COUNTIFS('My trades'!$C:$C, $B15,'My trades'!$E:$E,E$2)</f>
        <v>0</v>
      </c>
      <c r="F15" s="25">
        <f>COUNTIFS('My trades'!$C:$C, $B15,'My trades'!$E:$E,F$2)</f>
        <v>1</v>
      </c>
      <c r="G15" s="25">
        <f>COUNTIFS('My trades'!$C:$C, $B15,'My trades'!$E:$E,G$2)</f>
        <v>0</v>
      </c>
      <c r="H15" s="25">
        <f>COUNTIFS('My trades'!$C:$C, $B15,'My trades'!$E:$E,H$2)</f>
        <v>1</v>
      </c>
      <c r="I15" s="25">
        <f>COUNTIFS('My trades'!$C:$C, $B15,'My trades'!$E:$E,I$2)</f>
        <v>2</v>
      </c>
      <c r="J15" s="25">
        <f>COUNTIFS('My trades'!$C:$C, $B15,'My trades'!$E:$E,J$2)</f>
        <v>0</v>
      </c>
      <c r="K15" s="25">
        <f>COUNTIFS('My trades'!$C:$C, $B15,'My trades'!$E:$E,K$2)</f>
        <v>1</v>
      </c>
      <c r="L15" s="25">
        <f>COUNTIFS('My trades'!$C:$C, $B15,'My trades'!$E:$E,L$2)</f>
        <v>0</v>
      </c>
      <c r="M15" s="25">
        <f t="shared" si="0"/>
        <v>8</v>
      </c>
      <c r="O15" s="40">
        <f>SUM(C3:J3,C7:J7,C12:J12,C13:J13,C14:J14,C18:J18,C4:J4,C11:J11)/M20</f>
        <v>0.37</v>
      </c>
      <c r="P15" s="41"/>
      <c r="Q15" s="41"/>
      <c r="R15" s="41"/>
      <c r="S15" s="41"/>
      <c r="T15" s="41"/>
      <c r="U15" s="41"/>
      <c r="V15" s="41"/>
      <c r="W15" s="41"/>
      <c r="X15" s="41"/>
      <c r="Y15" s="42"/>
    </row>
    <row r="16" spans="1:25" ht="14.25" customHeight="1" thickTop="1" thickBot="1">
      <c r="A16" s="55"/>
      <c r="B16" s="31" t="s">
        <v>59</v>
      </c>
      <c r="C16" s="25">
        <f>COUNTIFS('My trades'!$C:$C, $B16,'My trades'!$E:$E,C$2)</f>
        <v>2</v>
      </c>
      <c r="D16" s="25">
        <f>COUNTIFS('My trades'!$C:$C, $B16,'My trades'!$E:$E,D$2)</f>
        <v>3</v>
      </c>
      <c r="E16" s="25">
        <f>COUNTIFS('My trades'!$C:$C, $B16,'My trades'!$E:$E,E$2)</f>
        <v>1</v>
      </c>
      <c r="F16" s="25">
        <f>COUNTIFS('My trades'!$C:$C, $B16,'My trades'!$E:$E,F$2)</f>
        <v>1</v>
      </c>
      <c r="G16" s="25">
        <f>COUNTIFS('My trades'!$C:$C, $B16,'My trades'!$E:$E,G$2)</f>
        <v>0</v>
      </c>
      <c r="H16" s="25">
        <f>COUNTIFS('My trades'!$C:$C, $B16,'My trades'!$E:$E,H$2)</f>
        <v>1</v>
      </c>
      <c r="I16" s="25">
        <f>COUNTIFS('My trades'!$C:$C, $B16,'My trades'!$E:$E,I$2)</f>
        <v>4</v>
      </c>
      <c r="J16" s="25">
        <f>COUNTIFS('My trades'!$C:$C, $B16,'My trades'!$E:$E,J$2)</f>
        <v>2</v>
      </c>
      <c r="K16" s="25">
        <f>COUNTIFS('My trades'!$C:$C, $B16,'My trades'!$E:$E,K$2)</f>
        <v>2</v>
      </c>
      <c r="L16" s="25">
        <f>COUNTIFS('My trades'!$C:$C, $B16,'My trades'!$E:$E,L$2)</f>
        <v>0</v>
      </c>
      <c r="M16" s="25">
        <f t="shared" si="0"/>
        <v>16</v>
      </c>
    </row>
    <row r="17" spans="1:13" ht="14.25" customHeight="1" thickTop="1" thickBot="1">
      <c r="A17" s="55"/>
      <c r="B17" s="31" t="s">
        <v>62</v>
      </c>
      <c r="C17" s="25">
        <f>COUNTIFS('My trades'!$C:$C, $B17,'My trades'!$E:$E,C$2)</f>
        <v>2</v>
      </c>
      <c r="D17" s="25">
        <f>COUNTIFS('My trades'!$C:$C, $B17,'My trades'!$E:$E,D$2)</f>
        <v>1</v>
      </c>
      <c r="E17" s="25">
        <f>COUNTIFS('My trades'!$C:$C, $B17,'My trades'!$E:$E,E$2)</f>
        <v>3</v>
      </c>
      <c r="F17" s="25">
        <f>COUNTIFS('My trades'!$C:$C, $B17,'My trades'!$E:$E,F$2)</f>
        <v>2</v>
      </c>
      <c r="G17" s="25">
        <f>COUNTIFS('My trades'!$C:$C, $B17,'My trades'!$E:$E,G$2)</f>
        <v>0</v>
      </c>
      <c r="H17" s="25">
        <f>COUNTIFS('My trades'!$C:$C, $B17,'My trades'!$E:$E,H$2)</f>
        <v>1</v>
      </c>
      <c r="I17" s="25">
        <f>COUNTIFS('My trades'!$C:$C, $B17,'My trades'!$E:$E,I$2)</f>
        <v>1</v>
      </c>
      <c r="J17" s="25">
        <f>COUNTIFS('My trades'!$C:$C, $B17,'My trades'!$E:$E,J$2)</f>
        <v>3</v>
      </c>
      <c r="K17" s="25">
        <f>COUNTIFS('My trades'!$C:$C, $B17,'My trades'!$E:$E,K$2)</f>
        <v>0</v>
      </c>
      <c r="L17" s="25">
        <f>COUNTIFS('My trades'!$C:$C, $B17,'My trades'!$E:$E,L$2)</f>
        <v>3</v>
      </c>
      <c r="M17" s="25">
        <f t="shared" si="0"/>
        <v>16</v>
      </c>
    </row>
    <row r="18" spans="1:13" ht="14.25" customHeight="1" thickTop="1" thickBot="1">
      <c r="A18" s="55"/>
      <c r="B18" s="32" t="s">
        <v>74</v>
      </c>
      <c r="C18" s="25">
        <f>COUNTIFS('My trades'!$C:$C, $B18,'My trades'!$E:$E,C$2)</f>
        <v>0</v>
      </c>
      <c r="D18" s="25">
        <f>COUNTIFS('My trades'!$C:$C, $B18,'My trades'!$E:$E,D$2)</f>
        <v>0</v>
      </c>
      <c r="E18" s="25">
        <f>COUNTIFS('My trades'!$C:$C, $B18,'My trades'!$E:$E,E$2)</f>
        <v>1</v>
      </c>
      <c r="F18" s="25">
        <f>COUNTIFS('My trades'!$C:$C, $B18,'My trades'!$E:$E,F$2)</f>
        <v>1</v>
      </c>
      <c r="G18" s="25">
        <f>COUNTIFS('My trades'!$C:$C, $B18,'My trades'!$E:$E,G$2)</f>
        <v>1</v>
      </c>
      <c r="H18" s="25">
        <f>COUNTIFS('My trades'!$C:$C, $B18,'My trades'!$E:$E,H$2)</f>
        <v>0</v>
      </c>
      <c r="I18" s="25">
        <f>COUNTIFS('My trades'!$C:$C, $B18,'My trades'!$E:$E,I$2)</f>
        <v>1</v>
      </c>
      <c r="J18" s="25">
        <f>COUNTIFS('My trades'!$C:$C, $B18,'My trades'!$E:$E,J$2)</f>
        <v>0</v>
      </c>
      <c r="K18" s="25">
        <f>COUNTIFS('My trades'!$C:$C, $B18,'My trades'!$E:$E,K$2)</f>
        <v>2</v>
      </c>
      <c r="L18" s="25">
        <f>COUNTIFS('My trades'!$C:$C, $B18,'My trades'!$E:$E,L$2)</f>
        <v>2</v>
      </c>
      <c r="M18" s="25">
        <f t="shared" si="0"/>
        <v>8</v>
      </c>
    </row>
    <row r="19" spans="1:13" ht="14.25" customHeight="1" thickTop="1" thickBot="1">
      <c r="A19" s="55"/>
      <c r="B19" s="27" t="s">
        <v>104</v>
      </c>
      <c r="C19" s="25">
        <f>COUNTIFS('My trades'!$C:$C, $B19,'My trades'!$E:$E,C$2)</f>
        <v>3</v>
      </c>
      <c r="D19" s="25">
        <f>COUNTIFS('My trades'!$C:$C, $B19,'My trades'!$E:$E,D$2)</f>
        <v>2</v>
      </c>
      <c r="E19" s="25">
        <f>COUNTIFS('My trades'!$C:$C, $B19,'My trades'!$E:$E,E$2)</f>
        <v>1</v>
      </c>
      <c r="F19" s="25">
        <f>COUNTIFS('My trades'!$C:$C, $B19,'My trades'!$E:$E,F$2)</f>
        <v>0</v>
      </c>
      <c r="G19" s="25">
        <f>COUNTIFS('My trades'!$C:$C, $B19,'My trades'!$E:$E,G$2)</f>
        <v>3</v>
      </c>
      <c r="H19" s="25">
        <f>COUNTIFS('My trades'!$C:$C, $B19,'My trades'!$E:$E,H$2)</f>
        <v>1</v>
      </c>
      <c r="I19" s="25">
        <f>COUNTIFS('My trades'!$C:$C, $B19,'My trades'!$E:$E,I$2)</f>
        <v>3</v>
      </c>
      <c r="J19" s="25">
        <f>COUNTIFS('My trades'!$C:$C, $B19,'My trades'!$E:$E,J$2)</f>
        <v>1</v>
      </c>
      <c r="K19" s="25">
        <f>COUNTIFS('My trades'!$C:$C, $B19,'My trades'!$E:$E,K$2)</f>
        <v>0</v>
      </c>
      <c r="L19" s="25">
        <f>COUNTIFS('My trades'!$C:$C, $B19,'My trades'!$E:$E,L$2)</f>
        <v>2</v>
      </c>
      <c r="M19" s="25">
        <f t="shared" si="0"/>
        <v>16</v>
      </c>
    </row>
    <row r="20" spans="1:13" ht="14.25" thickTop="1" thickBot="1">
      <c r="A20" s="55"/>
      <c r="B20" s="28" t="s">
        <v>253</v>
      </c>
      <c r="C20" s="25">
        <f>SUM(C3:C19)</f>
        <v>26</v>
      </c>
      <c r="D20" s="25">
        <f t="shared" ref="D20:L20" si="1">SUM(D3:D19)</f>
        <v>22</v>
      </c>
      <c r="E20" s="25">
        <f t="shared" si="1"/>
        <v>21</v>
      </c>
      <c r="F20" s="25">
        <f t="shared" si="1"/>
        <v>18</v>
      </c>
      <c r="G20" s="25">
        <f t="shared" si="1"/>
        <v>21</v>
      </c>
      <c r="H20" s="25">
        <f t="shared" si="1"/>
        <v>27</v>
      </c>
      <c r="I20" s="25">
        <f t="shared" si="1"/>
        <v>20</v>
      </c>
      <c r="J20" s="25">
        <f t="shared" si="1"/>
        <v>14</v>
      </c>
      <c r="K20" s="25">
        <f t="shared" si="1"/>
        <v>15</v>
      </c>
      <c r="L20" s="25">
        <f t="shared" si="1"/>
        <v>16</v>
      </c>
      <c r="M20" s="25">
        <f>SUM(M3:M19)</f>
        <v>200</v>
      </c>
    </row>
    <row r="21" spans="1:13" ht="13.5" thickTop="1"/>
    <row r="203" spans="2:2">
      <c r="B203" s="4"/>
    </row>
    <row r="204" spans="2:2">
      <c r="B204" s="4"/>
    </row>
    <row r="205" spans="2:2">
      <c r="B205" s="4"/>
    </row>
  </sheetData>
  <mergeCells count="7">
    <mergeCell ref="A3:A20"/>
    <mergeCell ref="C1:M1"/>
    <mergeCell ref="O13:Y13"/>
    <mergeCell ref="O3:Y3"/>
    <mergeCell ref="O4:Y4"/>
    <mergeCell ref="O15:Y15"/>
    <mergeCell ref="O14:Y14"/>
  </mergeCells>
  <pageMargins left="0.7" right="0.7" top="0.75" bottom="0.75" header="0.3" footer="0.3"/>
  <pageSetup paperSize="9" scale="55" orientation="landscape"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4</vt:i4>
      </vt:variant>
    </vt:vector>
  </HeadingPairs>
  <TitlesOfParts>
    <vt:vector size="4" baseType="lpstr">
      <vt:lpstr>My trades</vt:lpstr>
      <vt:lpstr>Stock exchanges</vt:lpstr>
      <vt:lpstr>Profit insights</vt:lpstr>
      <vt:lpstr>Number of trades exchanged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massimiliano izzo</dc:creator>
  <cp:keywords/>
  <dc:description/>
  <cp:lastModifiedBy>massimiliano izzo</cp:lastModifiedBy>
  <cp:revision/>
  <cp:lastPrinted>2024-05-29T08:15:13Z</cp:lastPrinted>
  <dcterms:created xsi:type="dcterms:W3CDTF">2023-05-26T15:43:04Z</dcterms:created>
  <dcterms:modified xsi:type="dcterms:W3CDTF">2024-05-29T08:22:33Z</dcterms:modified>
  <cp:category/>
  <cp:contentStatus/>
</cp:coreProperties>
</file>